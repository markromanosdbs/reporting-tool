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ndyn-DavidsonsBli\Downloads\"/>
    </mc:Choice>
  </mc:AlternateContent>
  <xr:revisionPtr revIDLastSave="0" documentId="13_ncr:1_{C6762D00-4979-4B69-A2A4-D28020FDC6AB}" xr6:coauthVersionLast="47" xr6:coauthVersionMax="47" xr10:uidLastSave="{00000000-0000-0000-0000-000000000000}"/>
  <bookViews>
    <workbookView xWindow="16635" yWindow="-16320" windowWidth="29040" windowHeight="15720" tabRatio="772" activeTab="5" xr2:uid="{00000000-000D-0000-FFFF-FFFF00000000}"/>
  </bookViews>
  <sheets>
    <sheet name="Data" sheetId="8" r:id="rId1"/>
    <sheet name="Job Sheet" sheetId="1" r:id="rId2"/>
    <sheet name="Fabric Cutting" sheetId="13" r:id="rId3"/>
    <sheet name="Tube Cutting" sheetId="14" r:id="rId4"/>
    <sheet name="Assembly(a)" sheetId="15" r:id="rId5"/>
    <sheet name="Bagging" sheetId="19" r:id="rId6"/>
    <sheet name="Pelmet Order Form" sheetId="20" r:id="rId7"/>
    <sheet name="Components" sheetId="21" r:id="rId8"/>
    <sheet name="Component Colour Matching" sheetId="22" r:id="rId9"/>
    <sheet name="Labels" sheetId="9" r:id="rId10"/>
    <sheet name="Deductions" sheetId="10" r:id="rId11"/>
  </sheets>
  <functionGroups builtInGroupCount="19"/>
  <definedNames>
    <definedName name="Channels">Deductions!$E$3:$H$13</definedName>
    <definedName name="ColourMatch">'Component Colour Matching'!$A$2:$K$2000</definedName>
    <definedName name="CompanyPkId">Data!$BB$2</definedName>
    <definedName name="CustName" localSheetId="4">'Assembly(a)'!$E$2</definedName>
    <definedName name="CustName" localSheetId="5">Bagging!$F$2</definedName>
    <definedName name="CustName">'Job Sheet'!$M$3</definedName>
    <definedName name="CustOrdOpt" localSheetId="4">Data!$CE$10:$CK$43</definedName>
    <definedName name="CustOrdOpt">Data!$CE$10:$CK$30</definedName>
    <definedName name="DataSettings">Data!$A$5:$F$22</definedName>
    <definedName name="FitDeduct" localSheetId="4">Deductions!$A$2:$B$6</definedName>
    <definedName name="FitDeduct">Deductions!$A$2:$B$6</definedName>
    <definedName name="Flooring">Deductions!$I$3:$J$9</definedName>
    <definedName name="Height">Deductions!$K$3:$L$10</definedName>
    <definedName name="InventoryGroup">Data!$BA$1</definedName>
    <definedName name="JobPickLastRow">Data!$BA$2</definedName>
    <definedName name="PelmetAdd">Deductions!$N$3:$O$9</definedName>
    <definedName name="_xlnm.Print_Area" localSheetId="4">'Assembly(a)'!$A$1:$G$21</definedName>
    <definedName name="_xlnm.Print_Area" localSheetId="5">Bagging!$A$1:$I$20</definedName>
    <definedName name="_xlnm.Print_Area" localSheetId="2">'Fabric Cutting'!$A$1:$N$20</definedName>
    <definedName name="_xlnm.Print_Area" localSheetId="1">'Job Sheet'!$A$2:$AC$21</definedName>
    <definedName name="_xlnm.Print_Area" localSheetId="3">'Tube Cutting'!$A$1:$M$21</definedName>
    <definedName name="_xlnm.Print_Titles" localSheetId="4">'Assembly(a)'!$1:$10</definedName>
    <definedName name="_xlnm.Print_Titles" localSheetId="5">Bagging!$1:$9</definedName>
    <definedName name="_xlnm.Print_Titles" localSheetId="1">'Job Sheet'!$2:$11</definedName>
    <definedName name="RightColumn">Data!$BA$3</definedName>
    <definedName name="RollerCar">Deductions!$Q$3:$T$17</definedName>
    <definedName name="SideDeduct" localSheetId="4">Deductions!$C$2:$D$22</definedName>
    <definedName name="SideDeduct">Deductions!$C$2:$D$22</definedName>
    <definedName name="UserPkId">Data!$AV$3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3" l="1"/>
  <c r="AI13" i="1"/>
  <c r="H12" i="13" s="1"/>
  <c r="M4" i="21" s="1"/>
  <c r="AI14" i="1"/>
  <c r="H13" i="13" s="1"/>
  <c r="M5" i="21" s="1"/>
  <c r="AI15" i="1"/>
  <c r="H14" i="13" s="1"/>
  <c r="M6" i="21" s="1"/>
  <c r="AI16" i="1"/>
  <c r="AI17" i="1"/>
  <c r="H16" i="13" s="1"/>
  <c r="M8" i="21" s="1"/>
  <c r="AI18" i="1"/>
  <c r="AI19" i="1"/>
  <c r="H18" i="13" s="1"/>
  <c r="M10" i="21" s="1"/>
  <c r="AI20" i="1"/>
  <c r="H19" i="13" s="1"/>
  <c r="M11" i="21" s="1"/>
  <c r="AI21" i="1"/>
  <c r="H20" i="13" s="1"/>
  <c r="M12" i="21" s="1"/>
  <c r="AI12" i="1"/>
  <c r="A20" i="9"/>
  <c r="K20" i="9" s="1"/>
  <c r="A19" i="9"/>
  <c r="F19" i="9" s="1"/>
  <c r="A18" i="9"/>
  <c r="I18" i="9" s="1"/>
  <c r="A17" i="9"/>
  <c r="K17" i="9" s="1"/>
  <c r="J16" i="9"/>
  <c r="G16" i="9"/>
  <c r="E16" i="9"/>
  <c r="D16" i="9"/>
  <c r="B16" i="9"/>
  <c r="A16" i="9"/>
  <c r="F16" i="9" s="1"/>
  <c r="B15" i="9"/>
  <c r="A15" i="9"/>
  <c r="I15" i="9" s="1"/>
  <c r="A14" i="9"/>
  <c r="D14" i="9" s="1"/>
  <c r="E13" i="9"/>
  <c r="A13" i="9"/>
  <c r="G13" i="9" s="1"/>
  <c r="A12" i="9"/>
  <c r="J12" i="9" s="1"/>
  <c r="K11" i="9"/>
  <c r="C11" i="9"/>
  <c r="A11" i="9"/>
  <c r="E11" i="9" s="1"/>
  <c r="F19" i="20"/>
  <c r="E19" i="20"/>
  <c r="C19" i="20"/>
  <c r="B19" i="20"/>
  <c r="A19" i="20"/>
  <c r="F18" i="20"/>
  <c r="E18" i="20"/>
  <c r="C18" i="20"/>
  <c r="B18" i="20"/>
  <c r="A18" i="20"/>
  <c r="F17" i="20"/>
  <c r="E17" i="20"/>
  <c r="C17" i="20"/>
  <c r="B17" i="20"/>
  <c r="A17" i="20"/>
  <c r="F16" i="20"/>
  <c r="E16" i="20"/>
  <c r="C16" i="20"/>
  <c r="B16" i="20"/>
  <c r="A16" i="20"/>
  <c r="F15" i="20"/>
  <c r="E15" i="20"/>
  <c r="C15" i="20"/>
  <c r="B15" i="20"/>
  <c r="A15" i="20"/>
  <c r="F14" i="20"/>
  <c r="E14" i="20"/>
  <c r="C14" i="20"/>
  <c r="B14" i="20"/>
  <c r="A14" i="20"/>
  <c r="F13" i="20"/>
  <c r="E13" i="20"/>
  <c r="C13" i="20"/>
  <c r="B13" i="20"/>
  <c r="A13" i="20"/>
  <c r="F12" i="20"/>
  <c r="E12" i="20"/>
  <c r="C12" i="20"/>
  <c r="B12" i="20"/>
  <c r="A12" i="20"/>
  <c r="F11" i="20"/>
  <c r="E11" i="20"/>
  <c r="C11" i="20"/>
  <c r="B11" i="20"/>
  <c r="A11" i="20"/>
  <c r="G6" i="20"/>
  <c r="C6" i="20"/>
  <c r="L5" i="20"/>
  <c r="G5" i="20"/>
  <c r="C5" i="20"/>
  <c r="G4" i="20"/>
  <c r="G20" i="19"/>
  <c r="F20" i="19"/>
  <c r="AS12" i="21" s="1"/>
  <c r="E20" i="19"/>
  <c r="AT12" i="21" s="1"/>
  <c r="B20" i="19"/>
  <c r="A20" i="19"/>
  <c r="I20" i="19" s="1"/>
  <c r="G19" i="19"/>
  <c r="F19" i="19"/>
  <c r="AS11" i="21" s="1"/>
  <c r="E19" i="19"/>
  <c r="AT11" i="21" s="1"/>
  <c r="B19" i="19"/>
  <c r="A19" i="19"/>
  <c r="I19" i="19" s="1"/>
  <c r="G18" i="19"/>
  <c r="F18" i="19"/>
  <c r="AS10" i="21" s="1"/>
  <c r="E18" i="19"/>
  <c r="AT10" i="21" s="1"/>
  <c r="B18" i="19"/>
  <c r="A18" i="19"/>
  <c r="I18" i="19" s="1"/>
  <c r="G17" i="19"/>
  <c r="F17" i="19"/>
  <c r="AS9" i="21" s="1"/>
  <c r="E17" i="19"/>
  <c r="AT9" i="21" s="1"/>
  <c r="B17" i="19"/>
  <c r="A17" i="19"/>
  <c r="I17" i="19" s="1"/>
  <c r="G16" i="19"/>
  <c r="F16" i="19"/>
  <c r="AS8" i="21" s="1"/>
  <c r="E16" i="19"/>
  <c r="AT8" i="21" s="1"/>
  <c r="B16" i="19"/>
  <c r="A16" i="19"/>
  <c r="I16" i="19" s="1"/>
  <c r="G15" i="19"/>
  <c r="F15" i="19"/>
  <c r="AS7" i="21" s="1"/>
  <c r="E15" i="19"/>
  <c r="AT7" i="21" s="1"/>
  <c r="B15" i="19"/>
  <c r="A15" i="19"/>
  <c r="I15" i="19" s="1"/>
  <c r="G14" i="19"/>
  <c r="F14" i="19"/>
  <c r="AS6" i="21" s="1"/>
  <c r="E14" i="19"/>
  <c r="AT6" i="21" s="1"/>
  <c r="B14" i="19"/>
  <c r="A14" i="19"/>
  <c r="I14" i="19" s="1"/>
  <c r="G13" i="19"/>
  <c r="F13" i="19"/>
  <c r="AS5" i="21" s="1"/>
  <c r="E13" i="19"/>
  <c r="AT5" i="21" s="1"/>
  <c r="B13" i="19"/>
  <c r="A13" i="19"/>
  <c r="I13" i="19" s="1"/>
  <c r="G12" i="19"/>
  <c r="F12" i="19"/>
  <c r="AS4" i="21" s="1"/>
  <c r="E12" i="19"/>
  <c r="AT4" i="21" s="1"/>
  <c r="B12" i="19"/>
  <c r="A12" i="19"/>
  <c r="I12" i="19" s="1"/>
  <c r="B11" i="19"/>
  <c r="A11" i="19"/>
  <c r="I11" i="19" s="1"/>
  <c r="F7" i="19"/>
  <c r="F6" i="19"/>
  <c r="A6" i="19"/>
  <c r="F5" i="19"/>
  <c r="C5" i="19"/>
  <c r="F4" i="19"/>
  <c r="C4" i="19"/>
  <c r="H3" i="19"/>
  <c r="F3" i="19"/>
  <c r="C3" i="19"/>
  <c r="F2" i="19"/>
  <c r="B21" i="15"/>
  <c r="A21" i="15"/>
  <c r="G21" i="15" s="1"/>
  <c r="B20" i="15"/>
  <c r="A20" i="15"/>
  <c r="G20" i="15" s="1"/>
  <c r="G19" i="15"/>
  <c r="B19" i="15"/>
  <c r="A19" i="15"/>
  <c r="B18" i="15"/>
  <c r="A18" i="15"/>
  <c r="G18" i="15" s="1"/>
  <c r="B17" i="15"/>
  <c r="A17" i="15"/>
  <c r="G17" i="15" s="1"/>
  <c r="G16" i="15"/>
  <c r="B16" i="15"/>
  <c r="A16" i="15"/>
  <c r="B15" i="15"/>
  <c r="A15" i="15"/>
  <c r="G15" i="15" s="1"/>
  <c r="B14" i="15"/>
  <c r="A14" i="15"/>
  <c r="G14" i="15" s="1"/>
  <c r="G13" i="15"/>
  <c r="B13" i="15"/>
  <c r="A13" i="15"/>
  <c r="B12" i="15"/>
  <c r="A12" i="15"/>
  <c r="G12" i="15" s="1"/>
  <c r="E7" i="15"/>
  <c r="E6" i="15"/>
  <c r="A6" i="15"/>
  <c r="E5" i="15"/>
  <c r="C5" i="15"/>
  <c r="E4" i="15"/>
  <c r="C4" i="15"/>
  <c r="F3" i="15"/>
  <c r="E3" i="15"/>
  <c r="C3" i="15"/>
  <c r="E2" i="15"/>
  <c r="M21" i="14"/>
  <c r="D21" i="14"/>
  <c r="A21" i="14"/>
  <c r="D20" i="14"/>
  <c r="A20" i="14"/>
  <c r="M20" i="14" s="1"/>
  <c r="D19" i="14"/>
  <c r="A19" i="14"/>
  <c r="M19" i="14" s="1"/>
  <c r="D18" i="14"/>
  <c r="A18" i="14"/>
  <c r="M18" i="14" s="1"/>
  <c r="D17" i="14"/>
  <c r="A17" i="14"/>
  <c r="M17" i="14" s="1"/>
  <c r="D16" i="14"/>
  <c r="A16" i="14"/>
  <c r="M16" i="14" s="1"/>
  <c r="D15" i="14"/>
  <c r="A15" i="14"/>
  <c r="M15" i="14" s="1"/>
  <c r="D14" i="14"/>
  <c r="A14" i="14"/>
  <c r="M14" i="14" s="1"/>
  <c r="D13" i="14"/>
  <c r="A13" i="14"/>
  <c r="M13" i="14" s="1"/>
  <c r="A12" i="14"/>
  <c r="M12" i="14" s="1"/>
  <c r="I11" i="14"/>
  <c r="G11" i="14"/>
  <c r="E11" i="14"/>
  <c r="D11" i="14"/>
  <c r="G7" i="14"/>
  <c r="G6" i="14"/>
  <c r="A6" i="14"/>
  <c r="G5" i="14"/>
  <c r="C5" i="14"/>
  <c r="G4" i="14"/>
  <c r="C4" i="14"/>
  <c r="L3" i="14"/>
  <c r="G3" i="14"/>
  <c r="C3" i="14"/>
  <c r="G2" i="14"/>
  <c r="J20" i="13"/>
  <c r="E20" i="13"/>
  <c r="D20" i="13"/>
  <c r="J19" i="13"/>
  <c r="E19" i="13"/>
  <c r="D19" i="13"/>
  <c r="J18" i="13"/>
  <c r="E18" i="13"/>
  <c r="D18" i="13"/>
  <c r="J17" i="13"/>
  <c r="E17" i="13"/>
  <c r="D17" i="13"/>
  <c r="J16" i="13"/>
  <c r="E16" i="13"/>
  <c r="D16" i="13"/>
  <c r="J15" i="13"/>
  <c r="E15" i="13"/>
  <c r="D15" i="13"/>
  <c r="J14" i="13"/>
  <c r="E14" i="13"/>
  <c r="D14" i="13"/>
  <c r="J13" i="13"/>
  <c r="E13" i="13"/>
  <c r="D13" i="13"/>
  <c r="J12" i="13"/>
  <c r="E12" i="13"/>
  <c r="D12" i="13"/>
  <c r="F7" i="13"/>
  <c r="F6" i="13"/>
  <c r="A6" i="13"/>
  <c r="F5" i="13"/>
  <c r="C5" i="13"/>
  <c r="F4" i="13"/>
  <c r="C4" i="13"/>
  <c r="L3" i="13"/>
  <c r="F3" i="13"/>
  <c r="C3" i="13"/>
  <c r="F2" i="13"/>
  <c r="AJ21" i="1"/>
  <c r="AH21" i="1"/>
  <c r="G20" i="13" s="1"/>
  <c r="L12" i="21" s="1"/>
  <c r="AG21" i="1"/>
  <c r="I21" i="14" s="1"/>
  <c r="AF21" i="1"/>
  <c r="G21" i="14" s="1"/>
  <c r="AE21" i="1"/>
  <c r="C21" i="14" s="1"/>
  <c r="D12" i="21" s="1"/>
  <c r="S21" i="1"/>
  <c r="G19" i="20" s="1"/>
  <c r="L21" i="1"/>
  <c r="I12" i="21" s="1"/>
  <c r="K21" i="1"/>
  <c r="J21" i="1"/>
  <c r="D21" i="1"/>
  <c r="C21" i="1"/>
  <c r="B21" i="1"/>
  <c r="B21" i="14" s="1"/>
  <c r="A21" i="1"/>
  <c r="A20" i="13" s="1"/>
  <c r="N20" i="13" s="1"/>
  <c r="AJ20" i="1"/>
  <c r="AH20" i="1"/>
  <c r="G19" i="13" s="1"/>
  <c r="L11" i="21" s="1"/>
  <c r="AG20" i="1"/>
  <c r="I20" i="14" s="1"/>
  <c r="AF20" i="1"/>
  <c r="G20" i="14" s="1"/>
  <c r="AE20" i="1"/>
  <c r="C20" i="14" s="1"/>
  <c r="D11" i="21" s="1"/>
  <c r="S20" i="1"/>
  <c r="G18" i="20" s="1"/>
  <c r="L20" i="1"/>
  <c r="I11" i="21" s="1"/>
  <c r="K20" i="1"/>
  <c r="J20" i="1"/>
  <c r="D20" i="1"/>
  <c r="C20" i="1"/>
  <c r="B20" i="1"/>
  <c r="B20" i="14" s="1"/>
  <c r="A20" i="1"/>
  <c r="A19" i="13" s="1"/>
  <c r="N19" i="13" s="1"/>
  <c r="AJ19" i="1"/>
  <c r="AH19" i="1"/>
  <c r="G18" i="13" s="1"/>
  <c r="L10" i="21" s="1"/>
  <c r="AG19" i="1"/>
  <c r="I19" i="14" s="1"/>
  <c r="AF19" i="1"/>
  <c r="G19" i="14" s="1"/>
  <c r="AE19" i="1"/>
  <c r="C19" i="14" s="1"/>
  <c r="D10" i="21" s="1"/>
  <c r="S19" i="1"/>
  <c r="G17" i="20" s="1"/>
  <c r="L19" i="1"/>
  <c r="I10" i="21" s="1"/>
  <c r="K19" i="1"/>
  <c r="J19" i="1"/>
  <c r="D19" i="1"/>
  <c r="C19" i="1"/>
  <c r="B19" i="1"/>
  <c r="B19" i="14" s="1"/>
  <c r="A19" i="1"/>
  <c r="A18" i="13" s="1"/>
  <c r="N18" i="13" s="1"/>
  <c r="AJ18" i="1"/>
  <c r="H17" i="13"/>
  <c r="M9" i="21" s="1"/>
  <c r="AH18" i="1"/>
  <c r="G17" i="13" s="1"/>
  <c r="L9" i="21" s="1"/>
  <c r="AG18" i="1"/>
  <c r="I18" i="14" s="1"/>
  <c r="AF18" i="1"/>
  <c r="G18" i="14" s="1"/>
  <c r="AE18" i="1"/>
  <c r="C18" i="14" s="1"/>
  <c r="D9" i="21" s="1"/>
  <c r="S18" i="1"/>
  <c r="G16" i="20" s="1"/>
  <c r="L18" i="1"/>
  <c r="I9" i="21" s="1"/>
  <c r="K18" i="1"/>
  <c r="J18" i="1"/>
  <c r="D18" i="1"/>
  <c r="C18" i="1"/>
  <c r="B18" i="1"/>
  <c r="B18" i="14" s="1"/>
  <c r="A18" i="1"/>
  <c r="A17" i="13" s="1"/>
  <c r="N17" i="13" s="1"/>
  <c r="AJ17" i="1"/>
  <c r="AH17" i="1"/>
  <c r="G16" i="13" s="1"/>
  <c r="L8" i="21" s="1"/>
  <c r="AG17" i="1"/>
  <c r="I17" i="14" s="1"/>
  <c r="AF17" i="1"/>
  <c r="G17" i="14" s="1"/>
  <c r="AE17" i="1"/>
  <c r="C17" i="14" s="1"/>
  <c r="D8" i="21" s="1"/>
  <c r="S17" i="1"/>
  <c r="G15" i="20" s="1"/>
  <c r="L17" i="1"/>
  <c r="I8" i="21" s="1"/>
  <c r="K17" i="1"/>
  <c r="J17" i="1"/>
  <c r="D17" i="1"/>
  <c r="C17" i="1"/>
  <c r="B17" i="1"/>
  <c r="B17" i="14" s="1"/>
  <c r="A17" i="1"/>
  <c r="A16" i="13" s="1"/>
  <c r="N16" i="13" s="1"/>
  <c r="AJ16" i="1"/>
  <c r="H15" i="13"/>
  <c r="M7" i="21" s="1"/>
  <c r="AH16" i="1"/>
  <c r="G15" i="13" s="1"/>
  <c r="L7" i="21" s="1"/>
  <c r="AG16" i="1"/>
  <c r="I16" i="14" s="1"/>
  <c r="AF16" i="1"/>
  <c r="G16" i="14" s="1"/>
  <c r="AE16" i="1"/>
  <c r="C16" i="14" s="1"/>
  <c r="D7" i="21" s="1"/>
  <c r="S16" i="1"/>
  <c r="G14" i="20" s="1"/>
  <c r="L16" i="1"/>
  <c r="I7" i="21" s="1"/>
  <c r="K16" i="1"/>
  <c r="J16" i="1"/>
  <c r="D16" i="1"/>
  <c r="C16" i="1"/>
  <c r="B16" i="1"/>
  <c r="B16" i="14" s="1"/>
  <c r="A16" i="1"/>
  <c r="A15" i="13" s="1"/>
  <c r="N15" i="13" s="1"/>
  <c r="AJ15" i="1"/>
  <c r="AH15" i="1"/>
  <c r="G14" i="13" s="1"/>
  <c r="L6" i="21" s="1"/>
  <c r="AG15" i="1"/>
  <c r="I15" i="14" s="1"/>
  <c r="AF15" i="1"/>
  <c r="G15" i="14" s="1"/>
  <c r="AE15" i="1"/>
  <c r="C15" i="14" s="1"/>
  <c r="D6" i="21" s="1"/>
  <c r="S15" i="1"/>
  <c r="G13" i="20" s="1"/>
  <c r="L15" i="1"/>
  <c r="I6" i="21" s="1"/>
  <c r="K15" i="1"/>
  <c r="J15" i="1"/>
  <c r="D15" i="1"/>
  <c r="C15" i="1"/>
  <c r="B15" i="1"/>
  <c r="B15" i="14" s="1"/>
  <c r="A15" i="1"/>
  <c r="A14" i="13" s="1"/>
  <c r="N14" i="13" s="1"/>
  <c r="AJ14" i="1"/>
  <c r="AH14" i="1"/>
  <c r="G13" i="13" s="1"/>
  <c r="L5" i="21" s="1"/>
  <c r="AG14" i="1"/>
  <c r="I14" i="14" s="1"/>
  <c r="AF14" i="1"/>
  <c r="G14" i="14" s="1"/>
  <c r="AE14" i="1"/>
  <c r="C14" i="14" s="1"/>
  <c r="D5" i="21" s="1"/>
  <c r="S14" i="1"/>
  <c r="G12" i="20" s="1"/>
  <c r="L14" i="1"/>
  <c r="C13" i="13" s="1"/>
  <c r="K14" i="1"/>
  <c r="J14" i="1"/>
  <c r="D14" i="1"/>
  <c r="C14" i="1"/>
  <c r="B14" i="1"/>
  <c r="B14" i="14" s="1"/>
  <c r="A14" i="1"/>
  <c r="A13" i="13" s="1"/>
  <c r="N13" i="13" s="1"/>
  <c r="AJ13" i="1"/>
  <c r="AH13" i="1"/>
  <c r="G12" i="13" s="1"/>
  <c r="L4" i="21" s="1"/>
  <c r="AG13" i="1"/>
  <c r="I13" i="14" s="1"/>
  <c r="AF13" i="1"/>
  <c r="G13" i="14" s="1"/>
  <c r="AE13" i="1"/>
  <c r="C13" i="14" s="1"/>
  <c r="D4" i="21" s="1"/>
  <c r="S13" i="1"/>
  <c r="G11" i="20" s="1"/>
  <c r="L13" i="1"/>
  <c r="I4" i="21" s="1"/>
  <c r="K13" i="1"/>
  <c r="J13" i="1"/>
  <c r="D13" i="1"/>
  <c r="C13" i="1"/>
  <c r="B13" i="1"/>
  <c r="B13" i="14" s="1"/>
  <c r="A13" i="1"/>
  <c r="A12" i="13" s="1"/>
  <c r="N12" i="13" s="1"/>
  <c r="L12" i="1"/>
  <c r="I3" i="21" s="1"/>
  <c r="D12" i="1"/>
  <c r="C12" i="1"/>
  <c r="B12" i="1"/>
  <c r="B12" i="14" s="1"/>
  <c r="A12" i="1"/>
  <c r="A10" i="20" s="1"/>
  <c r="M8" i="1"/>
  <c r="M7" i="1"/>
  <c r="A7" i="1"/>
  <c r="M6" i="1"/>
  <c r="D6" i="1"/>
  <c r="M5" i="1"/>
  <c r="D5" i="1"/>
  <c r="T4" i="1"/>
  <c r="M4" i="1"/>
  <c r="D4" i="1"/>
  <c r="M3" i="1"/>
  <c r="R14" i="1" a="1"/>
  <c r="R18" i="1" a="1"/>
  <c r="R20" i="1" a="1"/>
  <c r="R17" i="1" a="1"/>
  <c r="R21" i="1" a="1"/>
  <c r="R15" i="1" a="1"/>
  <c r="R19" i="1" a="1"/>
  <c r="R16" i="1" a="1"/>
  <c r="R13" i="1" a="1"/>
  <c r="R12" i="1" a="1"/>
  <c r="Q12" i="1" a="1"/>
  <c r="I10" i="13" a="1"/>
  <c r="Y21" i="1" a="1"/>
  <c r="T21" i="1" a="1"/>
  <c r="M21" i="1" a="1"/>
  <c r="F21" i="1" a="1"/>
  <c r="AA20" i="1" a="1"/>
  <c r="O20" i="1" a="1"/>
  <c r="I20" i="1" a="1"/>
  <c r="U19" i="1" a="1"/>
  <c r="G19" i="1" a="1"/>
  <c r="X18" i="1" a="1"/>
  <c r="M17" i="1" a="1"/>
  <c r="G17" i="1" a="1"/>
  <c r="AC16" i="1" a="1"/>
  <c r="Y16" i="1" a="1"/>
  <c r="U16" i="1" a="1"/>
  <c r="N16" i="1" a="1"/>
  <c r="O15" i="1" a="1"/>
  <c r="H15" i="1" a="1"/>
  <c r="Z14" i="1" a="1"/>
  <c r="V14" i="1" a="1"/>
  <c r="P14" i="1" a="1"/>
  <c r="Q13" i="1" a="1"/>
  <c r="I13" i="1" a="1"/>
  <c r="E13" i="1" a="1"/>
  <c r="AB12" i="1" a="1"/>
  <c r="X12" i="1" a="1"/>
  <c r="T12" i="1" a="1"/>
  <c r="I12" i="1" a="1"/>
  <c r="E12" i="1" a="1"/>
  <c r="U13" i="1" a="1"/>
  <c r="AC20" i="1" a="1"/>
  <c r="U18" i="1" a="1"/>
  <c r="I16" i="1" a="1"/>
  <c r="AB13" i="1" a="1"/>
  <c r="Z20" i="1" a="1"/>
  <c r="U20" i="1" a="1"/>
  <c r="Y19" i="1" a="1"/>
  <c r="M19" i="1" a="1"/>
  <c r="AB18" i="1" a="1"/>
  <c r="F18" i="1" a="1"/>
  <c r="AB17" i="1" a="1"/>
  <c r="X17" i="1" a="1"/>
  <c r="T17" i="1" a="1"/>
  <c r="M16" i="1" a="1"/>
  <c r="G16" i="1" a="1"/>
  <c r="AC15" i="1" a="1"/>
  <c r="Y15" i="1" a="1"/>
  <c r="U15" i="1" a="1"/>
  <c r="N15" i="1" a="1"/>
  <c r="O14" i="1" a="1"/>
  <c r="H14" i="1" a="1"/>
  <c r="Z13" i="1" a="1"/>
  <c r="V13" i="1" a="1"/>
  <c r="P13" i="1" a="1"/>
  <c r="P12" i="1" a="1"/>
  <c r="Q20" i="1" a="1"/>
  <c r="AA19" i="1" a="1"/>
  <c r="P17" i="1" a="1"/>
  <c r="AA15" i="1" a="1"/>
  <c r="X13" i="1" a="1"/>
  <c r="AC21" i="1" a="1"/>
  <c r="X21" i="1" a="1"/>
  <c r="Q21" i="1" a="1"/>
  <c r="E21" i="1" a="1"/>
  <c r="T20" i="1" a="1"/>
  <c r="N20" i="1" a="1"/>
  <c r="H20" i="1" a="1"/>
  <c r="AC19" i="1" a="1"/>
  <c r="T19" i="1" a="1"/>
  <c r="F19" i="1" a="1"/>
  <c r="W18" i="1" a="1"/>
  <c r="Q18" i="1" a="1"/>
  <c r="F17" i="1" a="1"/>
  <c r="AB16" i="1" a="1"/>
  <c r="X16" i="1" a="1"/>
  <c r="T16" i="1" a="1"/>
  <c r="M15" i="1" a="1"/>
  <c r="G15" i="1" a="1"/>
  <c r="AC14" i="1" a="1"/>
  <c r="Y14" i="1" a="1"/>
  <c r="U14" i="1" a="1"/>
  <c r="N14" i="1" a="1"/>
  <c r="O13" i="1" a="1"/>
  <c r="H13" i="1" a="1"/>
  <c r="AA12" i="1" a="1"/>
  <c r="W12" i="1" a="1"/>
  <c r="H12" i="1" a="1"/>
  <c r="O21" i="1" a="1"/>
  <c r="E16" i="1" a="1"/>
  <c r="N12" i="1" a="1"/>
  <c r="W21" i="1" a="1"/>
  <c r="P21" i="1" a="1"/>
  <c r="Y20" i="1" a="1"/>
  <c r="M20" i="1" a="1"/>
  <c r="G20" i="1" a="1"/>
  <c r="X19" i="1" a="1"/>
  <c r="AA18" i="1" a="1"/>
  <c r="V18" i="1" a="1"/>
  <c r="E18" i="1" a="1"/>
  <c r="AA17" i="1" a="1"/>
  <c r="W17" i="1" a="1"/>
  <c r="F16" i="1" a="1"/>
  <c r="AB15" i="1" a="1"/>
  <c r="X15" i="1" a="1"/>
  <c r="T15" i="1" a="1"/>
  <c r="M14" i="1" a="1"/>
  <c r="G14" i="1" a="1"/>
  <c r="AC13" i="1" a="1"/>
  <c r="Y13" i="1" a="1"/>
  <c r="F20" i="1" a="1"/>
  <c r="O18" i="1" a="1"/>
  <c r="Q16" i="1" a="1"/>
  <c r="AB21" i="1" a="1"/>
  <c r="I21" i="1" a="1"/>
  <c r="X20" i="1" a="1"/>
  <c r="AB19" i="1" a="1"/>
  <c r="W19" i="1" a="1"/>
  <c r="Q19" i="1" a="1"/>
  <c r="E19" i="1" a="1"/>
  <c r="Z18" i="1" a="1"/>
  <c r="P18" i="1" a="1"/>
  <c r="I18" i="1" a="1"/>
  <c r="Q17" i="1" a="1"/>
  <c r="I17" i="1" a="1"/>
  <c r="E17" i="1" a="1"/>
  <c r="AA16" i="1" a="1"/>
  <c r="W16" i="1" a="1"/>
  <c r="F15" i="1" a="1"/>
  <c r="AB14" i="1" a="1"/>
  <c r="X14" i="1" a="1"/>
  <c r="T14" i="1" a="1"/>
  <c r="M13" i="1" a="1"/>
  <c r="G13" i="1" a="1"/>
  <c r="Z12" i="1" a="1"/>
  <c r="V12" i="1" a="1"/>
  <c r="O12" i="1" a="1"/>
  <c r="G12" i="1" a="1"/>
  <c r="V21" i="1" a="1"/>
  <c r="Z17" i="1" a="1"/>
  <c r="T13" i="1" a="1"/>
  <c r="AA21" i="1" a="1"/>
  <c r="U21" i="1" a="1"/>
  <c r="N21" i="1" a="1"/>
  <c r="AB20" i="1" a="1"/>
  <c r="W20" i="1" a="1"/>
  <c r="E20" i="1" a="1"/>
  <c r="V19" i="1" a="1"/>
  <c r="O19" i="1" a="1"/>
  <c r="H19" i="1" a="1"/>
  <c r="Y18" i="1" a="1"/>
  <c r="N18" i="1" a="1"/>
  <c r="H18" i="1" a="1"/>
  <c r="O17" i="1" a="1"/>
  <c r="H17" i="1" a="1"/>
  <c r="Z16" i="1" a="1"/>
  <c r="V16" i="1" a="1"/>
  <c r="P16" i="1" a="1"/>
  <c r="Q15" i="1" a="1"/>
  <c r="I15" i="1" a="1"/>
  <c r="E15" i="1" a="1"/>
  <c r="AA14" i="1" a="1"/>
  <c r="W14" i="1" a="1"/>
  <c r="F13" i="1" a="1"/>
  <c r="AC12" i="1" a="1"/>
  <c r="Y12" i="1" a="1"/>
  <c r="U12" i="1" a="1"/>
  <c r="M12" i="1" a="1"/>
  <c r="F12" i="1" a="1"/>
  <c r="H21" i="1" a="1"/>
  <c r="P19" i="1" a="1"/>
  <c r="F14" i="1" a="1"/>
  <c r="C11" i="14"/>
  <c r="Z21" i="1" a="1"/>
  <c r="G21" i="1" a="1"/>
  <c r="V20" i="1" a="1"/>
  <c r="P20" i="1" a="1"/>
  <c r="Z19" i="1" a="1"/>
  <c r="N19" i="1" a="1"/>
  <c r="AC18" i="1" a="1"/>
  <c r="T18" i="1" a="1"/>
  <c r="M18" i="1" a="1"/>
  <c r="G18" i="1" a="1"/>
  <c r="AC17" i="1" a="1"/>
  <c r="Y17" i="1" a="1"/>
  <c r="U17" i="1" a="1"/>
  <c r="N17" i="1" a="1"/>
  <c r="O16" i="1" a="1"/>
  <c r="H16" i="1" a="1"/>
  <c r="Z15" i="1" a="1"/>
  <c r="V15" i="1" a="1"/>
  <c r="P15" i="1" a="1"/>
  <c r="Q14" i="1" a="1"/>
  <c r="I14" i="1" a="1"/>
  <c r="E14" i="1" a="1"/>
  <c r="AA13" i="1" a="1"/>
  <c r="W13" i="1" a="1"/>
  <c r="N13" i="1" a="1"/>
  <c r="I19" i="1" a="1"/>
  <c r="V17" i="1" a="1"/>
  <c r="W15" i="1" a="1"/>
  <c r="H13" i="9" l="1"/>
  <c r="F12" i="9"/>
  <c r="B14" i="9"/>
  <c r="G15" i="9"/>
  <c r="C12" i="9"/>
  <c r="D15" i="9"/>
  <c r="F11" i="9"/>
  <c r="H12" i="9"/>
  <c r="H14" i="9"/>
  <c r="J15" i="9"/>
  <c r="D17" i="9"/>
  <c r="G12" i="9"/>
  <c r="E14" i="9"/>
  <c r="H15" i="9"/>
  <c r="G11" i="9"/>
  <c r="K12" i="9"/>
  <c r="J14" i="9"/>
  <c r="D12" i="9"/>
  <c r="E15" i="9"/>
  <c r="R13" i="1"/>
  <c r="K13" i="14" s="1"/>
  <c r="R16" i="1"/>
  <c r="K16" i="14" s="1"/>
  <c r="R19" i="1"/>
  <c r="K19" i="14" s="1"/>
  <c r="R15" i="1"/>
  <c r="K15" i="14" s="1"/>
  <c r="R21" i="1"/>
  <c r="K21" i="14" s="1"/>
  <c r="R17" i="1"/>
  <c r="K17" i="14" s="1"/>
  <c r="R20" i="1"/>
  <c r="K20" i="14" s="1"/>
  <c r="R18" i="1"/>
  <c r="K18" i="14" s="1"/>
  <c r="R14" i="1"/>
  <c r="K14" i="14" s="1"/>
  <c r="R12" i="1"/>
  <c r="K12" i="14" s="1"/>
  <c r="Q12" i="1"/>
  <c r="W15" i="1"/>
  <c r="H13" i="20" s="1"/>
  <c r="V17" i="1"/>
  <c r="D15" i="20" s="1"/>
  <c r="I19" i="1"/>
  <c r="N13" i="1"/>
  <c r="F12" i="13" s="1"/>
  <c r="W13" i="1"/>
  <c r="H11" i="20" s="1"/>
  <c r="AA13" i="1"/>
  <c r="L11" i="20" s="1"/>
  <c r="E14" i="1"/>
  <c r="I14" i="1"/>
  <c r="Q14" i="1"/>
  <c r="P15" i="1"/>
  <c r="V15" i="1"/>
  <c r="D13" i="20" s="1"/>
  <c r="Z15" i="1"/>
  <c r="K13" i="20" s="1"/>
  <c r="H16" i="1"/>
  <c r="O16" i="1"/>
  <c r="C16" i="15" s="1"/>
  <c r="N17" i="1"/>
  <c r="U17" i="1"/>
  <c r="Y17" i="1"/>
  <c r="I15" i="20" s="1"/>
  <c r="AC17" i="1"/>
  <c r="E17" i="15" s="1"/>
  <c r="G18" i="1"/>
  <c r="M18" i="1"/>
  <c r="T18" i="1"/>
  <c r="C17" i="19" s="1"/>
  <c r="AC18" i="1"/>
  <c r="E18" i="15" s="1"/>
  <c r="N19" i="1"/>
  <c r="Z19" i="1"/>
  <c r="K17" i="20" s="1"/>
  <c r="P20" i="1"/>
  <c r="V20" i="1"/>
  <c r="D18" i="20" s="1"/>
  <c r="G21" i="1"/>
  <c r="Z21" i="1"/>
  <c r="K19" i="20" s="1"/>
  <c r="F14" i="1"/>
  <c r="P19" i="1"/>
  <c r="D19" i="15" s="1"/>
  <c r="H21" i="1"/>
  <c r="F12" i="1"/>
  <c r="M12" i="1"/>
  <c r="U12" i="1"/>
  <c r="Y12" i="1"/>
  <c r="I10" i="20" s="1"/>
  <c r="AC12" i="1"/>
  <c r="M10" i="20" s="1"/>
  <c r="F13" i="1"/>
  <c r="W14" i="1"/>
  <c r="H12" i="20" s="1"/>
  <c r="AA14" i="1"/>
  <c r="L12" i="20" s="1"/>
  <c r="E15" i="1"/>
  <c r="I15" i="1"/>
  <c r="Q15" i="1"/>
  <c r="P16" i="1"/>
  <c r="V16" i="1"/>
  <c r="D14" i="20" s="1"/>
  <c r="Z16" i="1"/>
  <c r="K14" i="20" s="1"/>
  <c r="H17" i="1"/>
  <c r="O17" i="1"/>
  <c r="C17" i="15" s="1"/>
  <c r="H18" i="1"/>
  <c r="N18" i="1"/>
  <c r="F17" i="13" s="1"/>
  <c r="Y18" i="1"/>
  <c r="I16" i="20" s="1"/>
  <c r="H19" i="1"/>
  <c r="O19" i="1"/>
  <c r="C19" i="15" s="1"/>
  <c r="V19" i="1"/>
  <c r="D17" i="20" s="1"/>
  <c r="E20" i="1"/>
  <c r="W20" i="1"/>
  <c r="H18" i="20" s="1"/>
  <c r="AB20" i="1"/>
  <c r="N21" i="1"/>
  <c r="U21" i="1"/>
  <c r="AA21" i="1"/>
  <c r="L19" i="20" s="1"/>
  <c r="T13" i="1"/>
  <c r="C12" i="19" s="1"/>
  <c r="Z17" i="1"/>
  <c r="K15" i="20" s="1"/>
  <c r="V21" i="1"/>
  <c r="D19" i="20" s="1"/>
  <c r="G12" i="1"/>
  <c r="K12" i="1" s="1"/>
  <c r="H11" i="13" s="1"/>
  <c r="M3" i="21" s="1"/>
  <c r="O12" i="1"/>
  <c r="D12" i="14" s="1"/>
  <c r="V12" i="1"/>
  <c r="D10" i="20" s="1"/>
  <c r="Z12" i="1"/>
  <c r="K10" i="20" s="1"/>
  <c r="G13" i="1"/>
  <c r="M13" i="1"/>
  <c r="T14" i="1"/>
  <c r="C13" i="19" s="1"/>
  <c r="X14" i="1"/>
  <c r="J12" i="20" s="1"/>
  <c r="AB14" i="1"/>
  <c r="F15" i="1"/>
  <c r="W16" i="1"/>
  <c r="H14" i="20" s="1"/>
  <c r="AA16" i="1"/>
  <c r="L14" i="20" s="1"/>
  <c r="E17" i="1"/>
  <c r="I17" i="1"/>
  <c r="Q17" i="1"/>
  <c r="J17" i="14" s="1"/>
  <c r="I18" i="1"/>
  <c r="P18" i="1"/>
  <c r="H18" i="14" s="1"/>
  <c r="Z18" i="1"/>
  <c r="K16" i="20" s="1"/>
  <c r="E19" i="1"/>
  <c r="Q19" i="1"/>
  <c r="W19" i="1"/>
  <c r="H17" i="20" s="1"/>
  <c r="AB19" i="1"/>
  <c r="X20" i="1"/>
  <c r="J18" i="20" s="1"/>
  <c r="I21" i="1"/>
  <c r="AB21" i="1"/>
  <c r="Q16" i="1"/>
  <c r="I15" i="13" s="1"/>
  <c r="O18" i="1"/>
  <c r="C18" i="15" s="1"/>
  <c r="F20" i="1"/>
  <c r="Y13" i="1"/>
  <c r="I11" i="20" s="1"/>
  <c r="AC13" i="1"/>
  <c r="M11" i="20" s="1"/>
  <c r="G14" i="1"/>
  <c r="M14" i="1"/>
  <c r="T15" i="1"/>
  <c r="C14" i="19" s="1"/>
  <c r="X15" i="1"/>
  <c r="J13" i="20" s="1"/>
  <c r="AB15" i="1"/>
  <c r="F16" i="1"/>
  <c r="W17" i="1"/>
  <c r="H15" i="20" s="1"/>
  <c r="AA17" i="1"/>
  <c r="L15" i="20" s="1"/>
  <c r="E18" i="1"/>
  <c r="V18" i="1"/>
  <c r="D16" i="20" s="1"/>
  <c r="AA18" i="1"/>
  <c r="L16" i="20" s="1"/>
  <c r="X19" i="1"/>
  <c r="J17" i="20" s="1"/>
  <c r="G20" i="1"/>
  <c r="M20" i="1"/>
  <c r="Y20" i="1"/>
  <c r="I18" i="20" s="1"/>
  <c r="P21" i="1"/>
  <c r="H21" i="14" s="1"/>
  <c r="W21" i="1"/>
  <c r="H19" i="20" s="1"/>
  <c r="N12" i="1"/>
  <c r="K3" i="21" s="1"/>
  <c r="E16" i="1"/>
  <c r="O21" i="1"/>
  <c r="C21" i="15" s="1"/>
  <c r="H12" i="1"/>
  <c r="W12" i="1"/>
  <c r="H10" i="20" s="1"/>
  <c r="AA12" i="1"/>
  <c r="L10" i="20" s="1"/>
  <c r="H13" i="1"/>
  <c r="O13" i="1"/>
  <c r="C13" i="15" s="1"/>
  <c r="N14" i="1"/>
  <c r="U14" i="1"/>
  <c r="Y14" i="1"/>
  <c r="I12" i="20" s="1"/>
  <c r="AC14" i="1"/>
  <c r="E14" i="15" s="1"/>
  <c r="G15" i="1"/>
  <c r="M15" i="1"/>
  <c r="T16" i="1"/>
  <c r="C15" i="19" s="1"/>
  <c r="X16" i="1"/>
  <c r="J14" i="20" s="1"/>
  <c r="AB16" i="1"/>
  <c r="F17" i="1"/>
  <c r="Q18" i="1"/>
  <c r="J18" i="14" s="1"/>
  <c r="W18" i="1"/>
  <c r="H16" i="20" s="1"/>
  <c r="F19" i="1"/>
  <c r="T19" i="1"/>
  <c r="C18" i="19" s="1"/>
  <c r="AC19" i="1"/>
  <c r="M17" i="20" s="1"/>
  <c r="H20" i="1"/>
  <c r="N20" i="1"/>
  <c r="T20" i="1"/>
  <c r="C19" i="19" s="1"/>
  <c r="E21" i="1"/>
  <c r="Q21" i="1"/>
  <c r="J21" i="14" s="1"/>
  <c r="X21" i="1"/>
  <c r="J19" i="20" s="1"/>
  <c r="AC21" i="1"/>
  <c r="M19" i="20" s="1"/>
  <c r="X13" i="1"/>
  <c r="J11" i="20" s="1"/>
  <c r="AA15" i="1"/>
  <c r="L13" i="20" s="1"/>
  <c r="P17" i="1"/>
  <c r="H17" i="14" s="1"/>
  <c r="AA19" i="1"/>
  <c r="L17" i="20" s="1"/>
  <c r="Q20" i="1"/>
  <c r="J20" i="14" s="1"/>
  <c r="P12" i="1"/>
  <c r="P13" i="1"/>
  <c r="V13" i="1"/>
  <c r="D11" i="20" s="1"/>
  <c r="Z13" i="1"/>
  <c r="K11" i="20" s="1"/>
  <c r="H14" i="1"/>
  <c r="O14" i="1"/>
  <c r="C14" i="15" s="1"/>
  <c r="N15" i="1"/>
  <c r="U15" i="1"/>
  <c r="Y15" i="1"/>
  <c r="I13" i="20" s="1"/>
  <c r="AC15" i="1"/>
  <c r="M13" i="20" s="1"/>
  <c r="G16" i="1"/>
  <c r="M16" i="1"/>
  <c r="T17" i="1"/>
  <c r="C16" i="19" s="1"/>
  <c r="X17" i="1"/>
  <c r="J15" i="20" s="1"/>
  <c r="AB17" i="1"/>
  <c r="F18" i="1"/>
  <c r="AB18" i="1"/>
  <c r="M19" i="1"/>
  <c r="Y19" i="1"/>
  <c r="I17" i="20" s="1"/>
  <c r="U20" i="1"/>
  <c r="Z20" i="1"/>
  <c r="K18" i="20" s="1"/>
  <c r="AB13" i="1"/>
  <c r="I16" i="1"/>
  <c r="U18" i="1"/>
  <c r="AC20" i="1"/>
  <c r="U13" i="1"/>
  <c r="E12" i="1"/>
  <c r="I12" i="1"/>
  <c r="T12" i="1"/>
  <c r="C10" i="20" s="1"/>
  <c r="X12" i="1"/>
  <c r="J10" i="20" s="1"/>
  <c r="AB12" i="1"/>
  <c r="E13" i="1"/>
  <c r="I13" i="1"/>
  <c r="Q13" i="1"/>
  <c r="P14" i="1"/>
  <c r="D14" i="15" s="1"/>
  <c r="V14" i="1"/>
  <c r="D12" i="20" s="1"/>
  <c r="Z14" i="1"/>
  <c r="K12" i="20" s="1"/>
  <c r="H15" i="1"/>
  <c r="O15" i="1"/>
  <c r="C15" i="15" s="1"/>
  <c r="N16" i="1"/>
  <c r="F15" i="13" s="1"/>
  <c r="U16" i="1"/>
  <c r="Y16" i="1"/>
  <c r="I14" i="20" s="1"/>
  <c r="AC16" i="1"/>
  <c r="M14" i="20" s="1"/>
  <c r="G17" i="1"/>
  <c r="M17" i="1"/>
  <c r="X18" i="1"/>
  <c r="J16" i="20" s="1"/>
  <c r="G19" i="1"/>
  <c r="U19" i="1"/>
  <c r="I20" i="1"/>
  <c r="O20" i="1"/>
  <c r="C20" i="15" s="1"/>
  <c r="AA20" i="1"/>
  <c r="L18" i="20" s="1"/>
  <c r="F21" i="1"/>
  <c r="M21" i="1"/>
  <c r="T21" i="1"/>
  <c r="C20" i="19" s="1"/>
  <c r="Y21" i="1"/>
  <c r="I19" i="20" s="1"/>
  <c r="I10" i="13"/>
  <c r="J16" i="14"/>
  <c r="H19" i="14"/>
  <c r="M18" i="20"/>
  <c r="E20" i="15"/>
  <c r="L20" i="14"/>
  <c r="M19" i="13"/>
  <c r="H19" i="19"/>
  <c r="C12" i="15"/>
  <c r="J19" i="14"/>
  <c r="I18" i="13"/>
  <c r="AV11" i="21"/>
  <c r="F11" i="21"/>
  <c r="AU11" i="21"/>
  <c r="E11" i="21"/>
  <c r="AR11" i="21"/>
  <c r="J11" i="21"/>
  <c r="AQ11" i="21"/>
  <c r="H11" i="21"/>
  <c r="G11" i="21"/>
  <c r="AP11" i="21"/>
  <c r="H12" i="14"/>
  <c r="D12" i="15"/>
  <c r="E12" i="14"/>
  <c r="K4" i="21"/>
  <c r="F13" i="14"/>
  <c r="G8" i="21"/>
  <c r="AV8" i="21"/>
  <c r="F8" i="21"/>
  <c r="AR8" i="21"/>
  <c r="J8" i="21"/>
  <c r="AP8" i="21"/>
  <c r="H8" i="21"/>
  <c r="E8" i="21"/>
  <c r="AU8" i="21"/>
  <c r="AQ8" i="21"/>
  <c r="K9" i="21"/>
  <c r="F18" i="14"/>
  <c r="J12" i="14"/>
  <c r="I11" i="13"/>
  <c r="AR4" i="21"/>
  <c r="J4" i="21"/>
  <c r="AP4" i="21"/>
  <c r="H4" i="21"/>
  <c r="G4" i="21"/>
  <c r="AV4" i="21"/>
  <c r="F4" i="21"/>
  <c r="AQ4" i="21"/>
  <c r="E4" i="21"/>
  <c r="AU4" i="21"/>
  <c r="I20" i="13"/>
  <c r="J14" i="14"/>
  <c r="I13" i="13"/>
  <c r="AR7" i="21"/>
  <c r="J7" i="21"/>
  <c r="AQ7" i="21"/>
  <c r="G7" i="21"/>
  <c r="AV7" i="21"/>
  <c r="F7" i="21"/>
  <c r="AU7" i="21"/>
  <c r="E7" i="21"/>
  <c r="AP7" i="21"/>
  <c r="H7" i="21"/>
  <c r="J15" i="14"/>
  <c r="I14" i="13"/>
  <c r="H16" i="14"/>
  <c r="D16" i="15"/>
  <c r="E16" i="14"/>
  <c r="O7" i="21" s="1"/>
  <c r="D13" i="15"/>
  <c r="H13" i="14"/>
  <c r="E13" i="14"/>
  <c r="AB4" i="21" s="1"/>
  <c r="AP5" i="21"/>
  <c r="H5" i="21"/>
  <c r="G5" i="21"/>
  <c r="AU5" i="21"/>
  <c r="E5" i="21"/>
  <c r="AQ5" i="21"/>
  <c r="J5" i="21"/>
  <c r="F5" i="21"/>
  <c r="AV5" i="21"/>
  <c r="AR5" i="21"/>
  <c r="AQ10" i="21"/>
  <c r="AP10" i="21"/>
  <c r="H10" i="21"/>
  <c r="AV10" i="21"/>
  <c r="F10" i="21"/>
  <c r="AU10" i="21"/>
  <c r="E10" i="21"/>
  <c r="J10" i="21"/>
  <c r="G10" i="21"/>
  <c r="AR10" i="21"/>
  <c r="AR12" i="21"/>
  <c r="J12" i="21"/>
  <c r="AP12" i="21"/>
  <c r="H12" i="21"/>
  <c r="G12" i="21"/>
  <c r="AV12" i="21"/>
  <c r="F12" i="21"/>
  <c r="AU12" i="21"/>
  <c r="E12" i="21"/>
  <c r="AQ12" i="21"/>
  <c r="H15" i="14"/>
  <c r="E15" i="14"/>
  <c r="R6" i="21" s="1"/>
  <c r="D15" i="15"/>
  <c r="D20" i="15"/>
  <c r="H20" i="14"/>
  <c r="E20" i="14"/>
  <c r="O11" i="21" s="1"/>
  <c r="AQ9" i="21"/>
  <c r="AP9" i="21"/>
  <c r="H9" i="21"/>
  <c r="G9" i="21"/>
  <c r="J9" i="21"/>
  <c r="F9" i="21"/>
  <c r="AV9" i="21"/>
  <c r="E9" i="21"/>
  <c r="AU9" i="21"/>
  <c r="AR9" i="21"/>
  <c r="J13" i="14"/>
  <c r="I12" i="13"/>
  <c r="E14" i="14"/>
  <c r="AD5" i="21" s="1"/>
  <c r="AU6" i="21"/>
  <c r="E6" i="21"/>
  <c r="AR6" i="21"/>
  <c r="J6" i="21"/>
  <c r="AQ6" i="21"/>
  <c r="AP6" i="21"/>
  <c r="H6" i="21"/>
  <c r="G6" i="21"/>
  <c r="F6" i="21"/>
  <c r="AV6" i="21"/>
  <c r="K7" i="21"/>
  <c r="F16" i="14"/>
  <c r="P7" i="21"/>
  <c r="E10" i="20"/>
  <c r="AJ12" i="1"/>
  <c r="E13" i="15"/>
  <c r="B12" i="13"/>
  <c r="B14" i="13"/>
  <c r="B16" i="13"/>
  <c r="B18" i="13"/>
  <c r="B20" i="13"/>
  <c r="E16" i="15"/>
  <c r="M12" i="20"/>
  <c r="M15" i="20"/>
  <c r="C12" i="13"/>
  <c r="M12" i="13"/>
  <c r="C14" i="13"/>
  <c r="M14" i="13"/>
  <c r="C16" i="13"/>
  <c r="M16" i="13"/>
  <c r="C18" i="13"/>
  <c r="M18" i="13"/>
  <c r="C20" i="13"/>
  <c r="M20" i="13"/>
  <c r="L13" i="14"/>
  <c r="L15" i="14"/>
  <c r="L17" i="14"/>
  <c r="L21" i="14"/>
  <c r="S4" i="21"/>
  <c r="E12" i="15"/>
  <c r="E15" i="15"/>
  <c r="D21" i="15"/>
  <c r="C11" i="19"/>
  <c r="H16" i="19"/>
  <c r="AD4" i="21"/>
  <c r="I5" i="21"/>
  <c r="AC7" i="21"/>
  <c r="A11" i="13"/>
  <c r="N11" i="13" s="1"/>
  <c r="I17" i="13"/>
  <c r="I19" i="13"/>
  <c r="E21" i="14"/>
  <c r="AF12" i="21" s="1"/>
  <c r="E21" i="15"/>
  <c r="H15" i="19"/>
  <c r="AG7" i="21"/>
  <c r="B11" i="13"/>
  <c r="B13" i="13"/>
  <c r="B15" i="13"/>
  <c r="B17" i="13"/>
  <c r="B19" i="13"/>
  <c r="F19" i="14"/>
  <c r="F21" i="14"/>
  <c r="H14" i="19"/>
  <c r="C11" i="13"/>
  <c r="M11" i="13"/>
  <c r="M13" i="13"/>
  <c r="C15" i="13"/>
  <c r="M15" i="13"/>
  <c r="C17" i="13"/>
  <c r="C19" i="13"/>
  <c r="L12" i="14"/>
  <c r="L14" i="14"/>
  <c r="L16" i="14"/>
  <c r="L18" i="14"/>
  <c r="H13" i="19"/>
  <c r="R7" i="21"/>
  <c r="Q7" i="21"/>
  <c r="AF7" i="21"/>
  <c r="AE7" i="21"/>
  <c r="N7" i="21"/>
  <c r="AD7" i="21"/>
  <c r="AD11" i="21"/>
  <c r="R11" i="21"/>
  <c r="H11" i="19"/>
  <c r="H12" i="19"/>
  <c r="H20" i="19"/>
  <c r="S7" i="21"/>
  <c r="I13" i="9"/>
  <c r="F14" i="9"/>
  <c r="C15" i="9"/>
  <c r="K15" i="9"/>
  <c r="H16" i="9"/>
  <c r="E17" i="9"/>
  <c r="B18" i="9"/>
  <c r="J18" i="9"/>
  <c r="G19" i="9"/>
  <c r="D20" i="9"/>
  <c r="H11" i="9"/>
  <c r="E12" i="9"/>
  <c r="B13" i="9"/>
  <c r="J13" i="9"/>
  <c r="G14" i="9"/>
  <c r="I16" i="9"/>
  <c r="F17" i="9"/>
  <c r="C18" i="9"/>
  <c r="K18" i="9"/>
  <c r="H19" i="9"/>
  <c r="E20" i="9"/>
  <c r="I11" i="9"/>
  <c r="C13" i="9"/>
  <c r="K13" i="9"/>
  <c r="G17" i="9"/>
  <c r="D18" i="9"/>
  <c r="I19" i="9"/>
  <c r="F20" i="9"/>
  <c r="J11" i="9"/>
  <c r="D13" i="9"/>
  <c r="I14" i="9"/>
  <c r="F15" i="9"/>
  <c r="C16" i="9"/>
  <c r="K16" i="9"/>
  <c r="H17" i="9"/>
  <c r="E18" i="9"/>
  <c r="B19" i="9"/>
  <c r="J19" i="9"/>
  <c r="G20" i="9"/>
  <c r="I17" i="9"/>
  <c r="F18" i="9"/>
  <c r="C19" i="9"/>
  <c r="K19" i="9"/>
  <c r="H20" i="9"/>
  <c r="D11" i="9"/>
  <c r="I12" i="9"/>
  <c r="F13" i="9"/>
  <c r="C14" i="9"/>
  <c r="K14" i="9"/>
  <c r="B17" i="9"/>
  <c r="J17" i="9"/>
  <c r="G18" i="9"/>
  <c r="D19" i="9"/>
  <c r="I20" i="9"/>
  <c r="B12" i="9"/>
  <c r="C17" i="9"/>
  <c r="H18" i="9"/>
  <c r="E19" i="9"/>
  <c r="B20" i="9"/>
  <c r="J20" i="9"/>
  <c r="C20" i="9"/>
  <c r="B11" i="9"/>
  <c r="Q12" i="21" l="1"/>
  <c r="AG11" i="21"/>
  <c r="AK12" i="21"/>
  <c r="W12" i="21"/>
  <c r="AN12" i="21"/>
  <c r="X12" i="21"/>
  <c r="AO12" i="21"/>
  <c r="Y12" i="21"/>
  <c r="AA12" i="21"/>
  <c r="Z12" i="21"/>
  <c r="AL12" i="21"/>
  <c r="AM12" i="21"/>
  <c r="AD12" i="21"/>
  <c r="AF4" i="21"/>
  <c r="K12" i="21"/>
  <c r="F20" i="13"/>
  <c r="AA6" i="21"/>
  <c r="AL6" i="21"/>
  <c r="AM6" i="21"/>
  <c r="W6" i="21"/>
  <c r="AN6" i="21"/>
  <c r="X6" i="21"/>
  <c r="AO6" i="21"/>
  <c r="Y6" i="21"/>
  <c r="AK6" i="21"/>
  <c r="Z6" i="21"/>
  <c r="R4" i="21"/>
  <c r="AM10" i="21"/>
  <c r="W10" i="21"/>
  <c r="X10" i="21"/>
  <c r="Z10" i="21"/>
  <c r="AA10" i="21"/>
  <c r="AO10" i="21"/>
  <c r="AK10" i="21"/>
  <c r="AL10" i="21"/>
  <c r="AN10" i="21"/>
  <c r="Y10" i="21"/>
  <c r="F15" i="14"/>
  <c r="F14" i="13"/>
  <c r="K10" i="21"/>
  <c r="F18" i="13"/>
  <c r="F17" i="14"/>
  <c r="F16" i="13"/>
  <c r="AL3" i="21"/>
  <c r="Z3" i="21"/>
  <c r="W3" i="21"/>
  <c r="Y3" i="21"/>
  <c r="AO3" i="21"/>
  <c r="AN3" i="21"/>
  <c r="AK3" i="21"/>
  <c r="X3" i="21"/>
  <c r="AM3" i="21"/>
  <c r="AA3" i="21"/>
  <c r="AL7" i="21"/>
  <c r="AM7" i="21"/>
  <c r="X7" i="21"/>
  <c r="AO7" i="21"/>
  <c r="Y7" i="21"/>
  <c r="Z7" i="21"/>
  <c r="W7" i="21"/>
  <c r="AA7" i="21"/>
  <c r="AK7" i="21"/>
  <c r="AN7" i="21"/>
  <c r="F20" i="14"/>
  <c r="F19" i="13"/>
  <c r="K5" i="21"/>
  <c r="F13" i="13"/>
  <c r="AN5" i="21"/>
  <c r="X5" i="21"/>
  <c r="Y5" i="21"/>
  <c r="AA5" i="21"/>
  <c r="AK5" i="21"/>
  <c r="AO5" i="21"/>
  <c r="Z5" i="21"/>
  <c r="AL5" i="21"/>
  <c r="AM5" i="21"/>
  <c r="W5" i="21"/>
  <c r="AK4" i="21"/>
  <c r="W4" i="21"/>
  <c r="AL4" i="21"/>
  <c r="AM4" i="21"/>
  <c r="AN4" i="21"/>
  <c r="X4" i="21"/>
  <c r="AO4" i="21"/>
  <c r="Y4" i="21"/>
  <c r="AA4" i="21"/>
  <c r="Z4" i="21"/>
  <c r="AL9" i="21"/>
  <c r="AM9" i="21"/>
  <c r="W9" i="21"/>
  <c r="AN9" i="21"/>
  <c r="X9" i="21"/>
  <c r="AK9" i="21"/>
  <c r="AO9" i="21"/>
  <c r="Y9" i="21"/>
  <c r="Z9" i="21"/>
  <c r="AA9" i="21"/>
  <c r="Z11" i="21"/>
  <c r="AK11" i="21"/>
  <c r="AL11" i="21"/>
  <c r="AN11" i="21"/>
  <c r="AM11" i="21"/>
  <c r="W11" i="21"/>
  <c r="X11" i="21"/>
  <c r="AO11" i="21"/>
  <c r="Y11" i="21"/>
  <c r="AA11" i="21"/>
  <c r="AO8" i="21"/>
  <c r="Y8" i="21"/>
  <c r="AK8" i="21"/>
  <c r="AM8" i="21"/>
  <c r="W8" i="21"/>
  <c r="AL8" i="21"/>
  <c r="Z8" i="21"/>
  <c r="AA8" i="21"/>
  <c r="AN8" i="21"/>
  <c r="X8" i="21"/>
  <c r="N11" i="21"/>
  <c r="AF11" i="21"/>
  <c r="AG5" i="21"/>
  <c r="AE11" i="21"/>
  <c r="AC11" i="21"/>
  <c r="Q4" i="21"/>
  <c r="AE4" i="21"/>
  <c r="Q11" i="21"/>
  <c r="O4" i="21"/>
  <c r="S11" i="21"/>
  <c r="P4" i="21"/>
  <c r="P11" i="21"/>
  <c r="AB11" i="21"/>
  <c r="AG4" i="21"/>
  <c r="F10" i="20"/>
  <c r="B10" i="20"/>
  <c r="D18" i="15"/>
  <c r="E19" i="14"/>
  <c r="AI10" i="21" s="1"/>
  <c r="K8" i="21"/>
  <c r="E17" i="14"/>
  <c r="AH8" i="21" s="1"/>
  <c r="S12" i="1"/>
  <c r="G10" i="20" s="1"/>
  <c r="K11" i="21"/>
  <c r="D17" i="15"/>
  <c r="M17" i="13"/>
  <c r="F11" i="13"/>
  <c r="P12" i="21"/>
  <c r="M16" i="20"/>
  <c r="F14" i="14"/>
  <c r="F12" i="14"/>
  <c r="H17" i="19"/>
  <c r="E18" i="14"/>
  <c r="AC6" i="21"/>
  <c r="AD6" i="21"/>
  <c r="H14" i="14"/>
  <c r="I16" i="13"/>
  <c r="S5" i="21"/>
  <c r="AE6" i="21"/>
  <c r="N4" i="21"/>
  <c r="K6" i="21"/>
  <c r="F11" i="19"/>
  <c r="AS3" i="21" s="1"/>
  <c r="J12" i="1"/>
  <c r="O6" i="21"/>
  <c r="P6" i="21"/>
  <c r="L19" i="14"/>
  <c r="G11" i="19"/>
  <c r="Q6" i="21"/>
  <c r="H18" i="19"/>
  <c r="S6" i="21"/>
  <c r="N6" i="21"/>
  <c r="AF6" i="21"/>
  <c r="E19" i="15"/>
  <c r="V8" i="21"/>
  <c r="T8" i="21"/>
  <c r="AJ8" i="21"/>
  <c r="U8" i="21"/>
  <c r="AB5" i="21"/>
  <c r="J11" i="13"/>
  <c r="D11" i="13"/>
  <c r="AJ12" i="21"/>
  <c r="AI12" i="21"/>
  <c r="V12" i="21"/>
  <c r="AH12" i="21"/>
  <c r="U12" i="21"/>
  <c r="T12" i="21"/>
  <c r="AD8" i="21"/>
  <c r="AG12" i="21"/>
  <c r="AE8" i="21"/>
  <c r="R12" i="21"/>
  <c r="O8" i="21"/>
  <c r="AC5" i="21"/>
  <c r="S12" i="21"/>
  <c r="AF8" i="21"/>
  <c r="U6" i="21"/>
  <c r="T6" i="21"/>
  <c r="AI6" i="21"/>
  <c r="AH6" i="21"/>
  <c r="AJ6" i="21"/>
  <c r="AB6" i="21"/>
  <c r="V6" i="21"/>
  <c r="U5" i="21"/>
  <c r="T5" i="21"/>
  <c r="AJ5" i="21"/>
  <c r="AI5" i="21"/>
  <c r="AH5" i="21"/>
  <c r="V5" i="21"/>
  <c r="AG8" i="21"/>
  <c r="AE5" i="21"/>
  <c r="N12" i="21"/>
  <c r="AB12" i="21"/>
  <c r="R8" i="21"/>
  <c r="O5" i="21"/>
  <c r="R5" i="21"/>
  <c r="AF5" i="21"/>
  <c r="N5" i="21"/>
  <c r="AC12" i="21"/>
  <c r="AE12" i="21"/>
  <c r="S8" i="21"/>
  <c r="AG6" i="21"/>
  <c r="AI7" i="21"/>
  <c r="AH7" i="21"/>
  <c r="V7" i="21"/>
  <c r="U7" i="21"/>
  <c r="AJ7" i="21"/>
  <c r="AB7" i="21"/>
  <c r="T7" i="21"/>
  <c r="P5" i="21"/>
  <c r="O12" i="21"/>
  <c r="AB8" i="21"/>
  <c r="T9" i="21"/>
  <c r="AJ9" i="21"/>
  <c r="AH9" i="21"/>
  <c r="AI9" i="21"/>
  <c r="V9" i="21"/>
  <c r="U9" i="21"/>
  <c r="AE3" i="21"/>
  <c r="N3" i="21"/>
  <c r="AD3" i="21"/>
  <c r="AB3" i="21"/>
  <c r="S3" i="21"/>
  <c r="Q3" i="21"/>
  <c r="P3" i="21"/>
  <c r="O3" i="21"/>
  <c r="AG3" i="21"/>
  <c r="AF3" i="21"/>
  <c r="AC3" i="21"/>
  <c r="V11" i="21"/>
  <c r="U11" i="21"/>
  <c r="AJ11" i="21"/>
  <c r="AI11" i="21"/>
  <c r="AH11" i="21"/>
  <c r="T11" i="21"/>
  <c r="AJ4" i="21"/>
  <c r="AI4" i="21"/>
  <c r="V4" i="21"/>
  <c r="T4" i="21"/>
  <c r="AH4" i="21"/>
  <c r="AC4" i="21"/>
  <c r="U4" i="21"/>
  <c r="V3" i="21"/>
  <c r="AJ3" i="21"/>
  <c r="AI3" i="21"/>
  <c r="AH3" i="21"/>
  <c r="T3" i="21"/>
  <c r="Q5" i="21"/>
  <c r="AI8" i="21" l="1"/>
  <c r="AJ10" i="21"/>
  <c r="U10" i="21"/>
  <c r="V10" i="21"/>
  <c r="T10" i="21"/>
  <c r="AH10" i="21"/>
  <c r="P8" i="21"/>
  <c r="N8" i="21"/>
  <c r="Q8" i="21"/>
  <c r="AC8" i="21"/>
  <c r="AC10" i="21"/>
  <c r="Q10" i="21"/>
  <c r="R10" i="21"/>
  <c r="AE10" i="21"/>
  <c r="S10" i="21"/>
  <c r="AG10" i="21"/>
  <c r="AB10" i="21"/>
  <c r="O10" i="21"/>
  <c r="AF10" i="21"/>
  <c r="P10" i="21"/>
  <c r="AD10" i="21"/>
  <c r="N10" i="21"/>
  <c r="AG9" i="21"/>
  <c r="P9" i="21"/>
  <c r="R9" i="21"/>
  <c r="AE9" i="21"/>
  <c r="AC9" i="21"/>
  <c r="N9" i="21"/>
  <c r="AD9" i="21"/>
  <c r="AF9" i="21"/>
  <c r="Q9" i="21"/>
  <c r="O9" i="21"/>
  <c r="AB9" i="21"/>
  <c r="S9" i="21"/>
  <c r="E11" i="19"/>
  <c r="AT3" i="21" s="1"/>
  <c r="AF12" i="1"/>
  <c r="AE12" i="1"/>
  <c r="C12" i="14" s="1"/>
  <c r="AG12" i="1" l="1"/>
  <c r="I12" i="14" s="1"/>
  <c r="AH12" i="1"/>
  <c r="G11" i="13" s="1"/>
  <c r="L3" i="21" s="1"/>
  <c r="G12" i="14"/>
  <c r="U3" i="21" s="1"/>
  <c r="D3" i="21"/>
  <c r="R3" i="21"/>
  <c r="AP3" i="21" l="1"/>
  <c r="AV3" i="21"/>
  <c r="H3" i="21"/>
  <c r="E3" i="21"/>
  <c r="F3" i="21"/>
  <c r="G3" i="21"/>
  <c r="AR3" i="21"/>
  <c r="J3" i="21"/>
  <c r="AU3" i="21"/>
  <c r="AQ3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<sst xmlns="http://schemas.openxmlformats.org/spreadsheetml/2006/main" count="9087" uniqueCount="2133">
  <si>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</si>
  <si>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</si>
  <si>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</si>
  <si>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</si>
  <si>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</si>
  <si>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</si>
  <si>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</si>
  <si>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</si>
  <si>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</si>
  <si>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Fabric Type &amp; Colour</t>
  </si>
  <si>
    <t>Pelmet Type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</si>
  <si>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</si>
  <si>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</si>
  <si>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</si>
  <si>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</si>
  <si>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</si>
  <si>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</si>
  <si>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</si>
  <si>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</si>
  <si>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</si>
  <si>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</si>
  <si>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</si>
  <si>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</si>
  <si>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</si>
  <si>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</si>
  <si>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PANG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</si>
  <si>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</si>
  <si>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</si>
  <si>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</si>
  <si>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</si>
  <si>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</si>
  <si>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</si>
  <si>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</si>
  <si>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</si>
  <si>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</si>
  <si>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</si>
  <si>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</si>
  <si>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</si>
  <si>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</si>
  <si>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</si>
  <si>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</si>
  <si>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</si>
  <si>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</si>
  <si>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</si>
  <si>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</si>
  <si>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</si>
  <si>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</si>
  <si>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</si>
  <si>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</si>
  <si>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</si>
  <si>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</si>
  <si>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</si>
  <si>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</si>
  <si>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</si>
  <si>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</si>
  <si>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</si>
  <si>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</si>
  <si>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</si>
  <si>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</si>
  <si>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</si>
  <si>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</si>
  <si>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</si>
  <si>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</si>
  <si>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</si>
  <si>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</si>
  <si>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</si>
  <si>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</si>
  <si>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</si>
  <si>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</si>
  <si>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</si>
  <si>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</si>
  <si>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</si>
  <si>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</si>
  <si>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</si>
  <si>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</si>
  <si>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</si>
  <si>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</si>
  <si>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</si>
  <si>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</si>
  <si>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</si>
  <si>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</si>
  <si>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</si>
  <si>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</si>
  <si>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</si>
  <si>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</si>
  <si>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</si>
  <si>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</si>
  <si>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</si>
  <si>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</si>
  <si>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</si>
  <si>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</si>
  <si>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</si>
  <si>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</si>
  <si>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</si>
  <si>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</si>
  <si>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</si>
  <si>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</si>
  <si>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</si>
  <si>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</si>
  <si>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</si>
  <si>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</si>
  <si>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</si>
  <si>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</si>
  <si>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</si>
  <si>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</si>
  <si>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</si>
  <si>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</si>
  <si>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</si>
  <si>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</si>
  <si>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</si>
  <si>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</si>
  <si>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</si>
  <si>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</si>
  <si>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</si>
  <si>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</si>
  <si>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</si>
  <si>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</si>
  <si>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</si>
  <si>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</si>
  <si>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</si>
  <si>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</si>
  <si>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</si>
  <si>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</si>
  <si>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</si>
  <si>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</si>
  <si>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</si>
  <si>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</si>
  <si>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</si>
  <si>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</si>
  <si>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</si>
  <si>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</si>
  <si>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</si>
  <si>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</si>
  <si>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</si>
  <si>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</si>
  <si>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</si>
  <si>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</si>
  <si>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</si>
  <si>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Side by Side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</si>
  <si>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</si>
  <si>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</si>
  <si>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</si>
  <si>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</si>
  <si>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</si>
  <si>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</si>
  <si>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</si>
  <si>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</si>
  <si>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Sizes</t>
  </si>
  <si>
    <t>Deduction</t>
  </si>
  <si>
    <t>Face</t>
  </si>
  <si>
    <t>No</t>
  </si>
  <si>
    <t>Reveal</t>
  </si>
  <si>
    <t>Blind Drop</t>
  </si>
  <si>
    <t>Skin Width</t>
  </si>
  <si>
    <t>Skin Drop</t>
  </si>
  <si>
    <t>Fabric Cutting</t>
  </si>
  <si>
    <t>Tube Cutting</t>
  </si>
  <si>
    <t>B/Rail Colour</t>
  </si>
  <si>
    <t>Blind Width</t>
  </si>
  <si>
    <t>Assembly(a)</t>
  </si>
  <si>
    <t>Bagging</t>
  </si>
  <si>
    <t>Thru</t>
  </si>
  <si>
    <t>Butt</t>
  </si>
  <si>
    <t>Cutting Order</t>
  </si>
  <si>
    <t>Fabric Required</t>
  </si>
  <si>
    <t>Side by Side(Face)</t>
  </si>
  <si>
    <t>Side by Side(Reveal)</t>
  </si>
  <si>
    <t>G</t>
  </si>
  <si>
    <t>Face Fit (Recess Deduction)</t>
  </si>
  <si>
    <t>Recess Fit (10mm Deduction)</t>
  </si>
  <si>
    <t>Installation Deliver or Supply Only</t>
  </si>
  <si>
    <t>Is Rework / Remake</t>
  </si>
  <si>
    <t>Recess Fit (No Deduction)</t>
  </si>
  <si>
    <t>Face Fit (Recess Side by Side Deduction)</t>
  </si>
  <si>
    <t>Entered Width</t>
  </si>
  <si>
    <t>Additional Deductions</t>
  </si>
  <si>
    <t>Deductions</t>
  </si>
  <si>
    <t>A</t>
  </si>
  <si>
    <t>Brackets</t>
  </si>
  <si>
    <t>PANEL GLIDES Job Sheet</t>
  </si>
  <si>
    <t>PANEL GLIDES Bagging</t>
  </si>
  <si>
    <t xml:space="preserve">PANEL GLIDES Tube Cutting </t>
  </si>
  <si>
    <t xml:space="preserve">PANEL GLIDES Fabric Cutting </t>
  </si>
  <si>
    <t>Left Hand Stack 5 Panels</t>
  </si>
  <si>
    <t>Centre Opening 8 Panels</t>
  </si>
  <si>
    <t>Measured As</t>
  </si>
  <si>
    <t>Flooring</t>
  </si>
  <si>
    <t>Panel Qty</t>
  </si>
  <si>
    <t>Layout</t>
  </si>
  <si>
    <t>Track Colour</t>
  </si>
  <si>
    <t>Panel Bar Cut Length</t>
  </si>
  <si>
    <t>B/Rail Cut Length</t>
  </si>
  <si>
    <t>Fabric Cut Drop</t>
  </si>
  <si>
    <t>Fabric Cut Width</t>
  </si>
  <si>
    <t>Centre Opening 4 Panels</t>
  </si>
  <si>
    <t>Centre Opening 5 Panels</t>
  </si>
  <si>
    <t>Centre Opening 6 Panels</t>
  </si>
  <si>
    <t>Centre Opening 7 Panels</t>
  </si>
  <si>
    <t>Centre Opening 9 Panels</t>
  </si>
  <si>
    <t>Centre Opening 10 Panels</t>
  </si>
  <si>
    <t>Left Hand Stack 4 Panels</t>
  </si>
  <si>
    <t>Right Hand Stack 4 Panels</t>
  </si>
  <si>
    <t>Right Hand Stack 5 Panels</t>
  </si>
  <si>
    <t>4 Channel</t>
  </si>
  <si>
    <t>5 Channel</t>
  </si>
  <si>
    <t>Track Channels</t>
  </si>
  <si>
    <t>Panel Bar Colour</t>
  </si>
  <si>
    <t>Flick Sticks</t>
  </si>
  <si>
    <t>End Caps &amp; Screws</t>
  </si>
  <si>
    <t>Yes</t>
  </si>
  <si>
    <t>10 (Standard)</t>
  </si>
  <si>
    <t>N/A</t>
  </si>
  <si>
    <t>Height off Floor</t>
  </si>
  <si>
    <t>No - Carpet</t>
  </si>
  <si>
    <t>No - Timber or Tile</t>
  </si>
  <si>
    <t>15</t>
  </si>
  <si>
    <t>20</t>
  </si>
  <si>
    <t>25</t>
  </si>
  <si>
    <t>30</t>
  </si>
  <si>
    <t>Entered Drop</t>
  </si>
  <si>
    <t>Height Of Floor</t>
  </si>
  <si>
    <t>Number of Panels</t>
  </si>
  <si>
    <t>20mm to Each Side</t>
  </si>
  <si>
    <t>Pelmet Width</t>
  </si>
  <si>
    <t>Pelmet Piping</t>
  </si>
  <si>
    <t>Pelmet Return Size</t>
  </si>
  <si>
    <t>Pelmet Returns</t>
  </si>
  <si>
    <t>Pelmet Face Size</t>
  </si>
  <si>
    <t>Pelmet Shape</t>
  </si>
  <si>
    <t>Pelmet Add to Width</t>
  </si>
  <si>
    <t>Pelmet add</t>
  </si>
  <si>
    <t>Add</t>
  </si>
  <si>
    <t>20mm to 1 Side Only</t>
  </si>
  <si>
    <t>50mm to Each Side</t>
  </si>
  <si>
    <t>50mm to 1 Side Only</t>
  </si>
  <si>
    <t>None</t>
  </si>
  <si>
    <t>Pelmet Order Form</t>
  </si>
  <si>
    <t>From DAVIDSON'S BLINDS &amp; SHUTTERS, Please Deliver to 617-619 Howitt St, Ballarat, Vic, 3350</t>
  </si>
  <si>
    <t>Pelmet/Valnce Type</t>
  </si>
  <si>
    <t>Fabric</t>
  </si>
  <si>
    <t>Pelmet Width(mm)</t>
  </si>
  <si>
    <t>Face Size(mm)</t>
  </si>
  <si>
    <t>Return Size</t>
  </si>
  <si>
    <t>Returns</t>
  </si>
  <si>
    <t>Piping</t>
  </si>
  <si>
    <t>Customer.Warning</t>
  </si>
  <si>
    <t>Customer.WarningColour</t>
  </si>
  <si>
    <t>Headboard Size(mm)</t>
  </si>
  <si>
    <t>M</t>
  </si>
  <si>
    <t>Quote No.</t>
  </si>
  <si>
    <t>Line No</t>
  </si>
  <si>
    <t>Order Item Code</t>
  </si>
  <si>
    <t>Business Name</t>
  </si>
  <si>
    <t>Quote Ref</t>
  </si>
  <si>
    <t>Components</t>
  </si>
  <si>
    <t>4 Channel Track Anodised Silver</t>
  </si>
  <si>
    <t>5 Channel Track Anodised Silver</t>
  </si>
  <si>
    <t>4 Channel Track White</t>
  </si>
  <si>
    <t>5 Channel Track Black</t>
  </si>
  <si>
    <t>4 Channel Track Black</t>
  </si>
  <si>
    <t>5 Channel Track White</t>
  </si>
  <si>
    <t>Panel Bar Anodised Silver</t>
  </si>
  <si>
    <t>Panel Bar White</t>
  </si>
  <si>
    <t>Panel Bar Black</t>
  </si>
  <si>
    <t>D30 Bottom Rail Anodised Silver</t>
  </si>
  <si>
    <t>D30 Bottom Rail White</t>
  </si>
  <si>
    <t>D30 Bottom Rail Black</t>
  </si>
  <si>
    <t>4 Channel Track End Caps Anodised Silver</t>
  </si>
  <si>
    <t>4 Channel Track End Caps White</t>
  </si>
  <si>
    <t>4 Channel Track End Caps Black</t>
  </si>
  <si>
    <t>5 Channel Track End Caps Anodised Silver</t>
  </si>
  <si>
    <t>5 Channel Track End Caps White</t>
  </si>
  <si>
    <t>5 Channel Track End Caps Black</t>
  </si>
  <si>
    <t>Roller Car One Sided</t>
  </si>
  <si>
    <t>Roller Car Two Sided</t>
  </si>
  <si>
    <t>D30 Bottom Rail End Caps Anodised Silver</t>
  </si>
  <si>
    <t>D30 Bottom Rail End Caps White</t>
  </si>
  <si>
    <t>D30 Bottom Rail End Caps Black</t>
  </si>
  <si>
    <t>Panel Bar End Caps Anodised Silver</t>
  </si>
  <si>
    <t>Panel Bar End Caps White</t>
  </si>
  <si>
    <t>Panel Bar End Caps Black</t>
  </si>
  <si>
    <t>Nut &amp; Bolt</t>
  </si>
  <si>
    <t>Flick Stick</t>
  </si>
  <si>
    <t>Fabric Drop</t>
  </si>
  <si>
    <t>Fabric Sqm</t>
  </si>
  <si>
    <t>Panels</t>
  </si>
  <si>
    <t>D30 Bottom Rail End Caps Cream</t>
  </si>
  <si>
    <t>D30 Bottom Rail Cream</t>
  </si>
  <si>
    <t>9mm Spline</t>
  </si>
  <si>
    <t>15mm Spline</t>
  </si>
  <si>
    <t>Sign</t>
  </si>
  <si>
    <t>L</t>
  </si>
  <si>
    <t>Track Cut Length</t>
  </si>
  <si>
    <t>Bracket Type</t>
  </si>
  <si>
    <t>I</t>
  </si>
  <si>
    <t>This should be in column AX</t>
  </si>
  <si>
    <t>Job Tracking Action</t>
  </si>
  <si>
    <t>Dispatch Action</t>
  </si>
  <si>
    <t>Dispatch Date</t>
  </si>
  <si>
    <t>PANEL GLIDES Assembly (a)</t>
  </si>
  <si>
    <t>U</t>
  </si>
  <si>
    <t>White</t>
  </si>
  <si>
    <t>Match</t>
  </si>
  <si>
    <t>P10</t>
  </si>
  <si>
    <t>F14</t>
  </si>
  <si>
    <t>Hunter Douglas Plaza Plus Blockout Caramel</t>
  </si>
  <si>
    <t>Hunter Douglas Plaza Plus Blockout Cargo</t>
  </si>
  <si>
    <t>Hunter Douglas Plaza Plus Blockout Cashew</t>
  </si>
  <si>
    <t>Hunter Douglas Plaza Plus Blockout Clay</t>
  </si>
  <si>
    <t>Hunter Douglas Plaza Plus Blockout Cockatoo</t>
  </si>
  <si>
    <t>Hunter Douglas Plaza Plus Blockout Ebony</t>
  </si>
  <si>
    <t>Hunter Douglas Plaza Plus Blockout Footprint</t>
  </si>
  <si>
    <t>Hunter Douglas Plaza Plus Blockout Gun Metal</t>
  </si>
  <si>
    <t>Hunter Douglas Plaza Plus Blockout Natural</t>
  </si>
  <si>
    <t>Hunter Douglas Plaza Plus Blockout Orchid</t>
  </si>
  <si>
    <t>Hunter Douglas Plaza Plus Blockout Paperbark</t>
  </si>
  <si>
    <t>Hunter Douglas Plaza Plus Blockout Pumice</t>
  </si>
  <si>
    <t>Hunter Douglas Plaza Plus Blockout Royal</t>
  </si>
  <si>
    <t>Hunter Douglas Plaza Plus Blockout Sand</t>
  </si>
  <si>
    <t>Hunter Douglas Plaza Plus Blockout TBA</t>
  </si>
  <si>
    <t>Hunter Douglas Plaza Plus Blockout White</t>
  </si>
  <si>
    <t>Shaw Fabrics Vibe Blockout Alloy</t>
  </si>
  <si>
    <t>Anodised Silver</t>
  </si>
  <si>
    <t>Nickel Steel</t>
  </si>
  <si>
    <t>Colour No. 0</t>
  </si>
  <si>
    <t>F6</t>
  </si>
  <si>
    <t>Shaw Fabrics Vibe Blockout Birch</t>
  </si>
  <si>
    <t>Shaw Fabrics Vibe Blockout Bistro</t>
  </si>
  <si>
    <t>Shaw Fabrics Vibe Blockout Bronze Metallic</t>
  </si>
  <si>
    <t>Shaw Fabrics Vibe Blockout Brulee Metallic</t>
  </si>
  <si>
    <t>Beige</t>
  </si>
  <si>
    <t>Colour No. 5</t>
  </si>
  <si>
    <t>Shaw Fabrics Vibe Blockout Cactus</t>
  </si>
  <si>
    <t>Shaw Fabrics Vibe Blockout Chateau</t>
  </si>
  <si>
    <t>Shaw Fabrics Vibe Blockout Chintz Metallic</t>
  </si>
  <si>
    <t>Shaw Fabrics Vibe Blockout Clay</t>
  </si>
  <si>
    <t>Colour No. 1</t>
  </si>
  <si>
    <t>Shaw Fabrics Vibe Blockout Cloud</t>
  </si>
  <si>
    <t xml:space="preserve">Colour No. 0 </t>
  </si>
  <si>
    <t>Shaw Fabrics Vibe Blockout Coal</t>
  </si>
  <si>
    <t>Black</t>
  </si>
  <si>
    <t>Colour No. 20</t>
  </si>
  <si>
    <t>Shaw Fabrics Vibe Blockout Coconut</t>
  </si>
  <si>
    <t>Shaw Fabrics Vibe Blockout Cornsilk</t>
  </si>
  <si>
    <t>Shaw Fabrics Vibe Blockout Dune</t>
  </si>
  <si>
    <t>Colour No. 4</t>
  </si>
  <si>
    <t>Shaw Fabrics Vibe Blockout Ice</t>
  </si>
  <si>
    <t>Shaw Fabrics Vibe Blockout Lace</t>
  </si>
  <si>
    <t>Shaw Fabrics Vibe Blockout Lava Metallic</t>
  </si>
  <si>
    <t>Colour No. 81</t>
  </si>
  <si>
    <t>Shaw Fabrics Vibe Blockout Limestone</t>
  </si>
  <si>
    <t>Shaw Fabrics Vibe Blockout Linen</t>
  </si>
  <si>
    <t>Shaw Fabrics Vibe Blockout Loft</t>
  </si>
  <si>
    <t>Birch White</t>
  </si>
  <si>
    <t>Sandstone</t>
  </si>
  <si>
    <t>Shaw Fabrics Vibe Blockout Mercury Metallic</t>
  </si>
  <si>
    <t>Shaw Fabrics Vibe Blockout Mist</t>
  </si>
  <si>
    <t>Shaw Fabrics Vibe Blockout Moon</t>
  </si>
  <si>
    <t>Shaw Fabrics Vibe Blockout Nimbus</t>
  </si>
  <si>
    <t>Shaw Fabrics Vibe Blockout Odessey</t>
  </si>
  <si>
    <t>Shaw Fabrics Vibe Blockout Orient</t>
  </si>
  <si>
    <t>Shaw Fabrics Vibe Blockout Pool</t>
  </si>
  <si>
    <t>Shaw Fabrics Vibe Blockout Porcelain</t>
  </si>
  <si>
    <t>Shaw Fabrics Vibe Blockout Pure</t>
  </si>
  <si>
    <t>Shaw Fabrics Vibe Blockout Spirit</t>
  </si>
  <si>
    <t>Shaw Fabrics Vibe Blockout Starfish</t>
  </si>
  <si>
    <t>Shaw Fabrics Vibe Blockout Stone</t>
  </si>
  <si>
    <t>Shaw Fabrics Vibe Blockout Storm</t>
  </si>
  <si>
    <t>Shaw Fabrics Vibe Blockout Surf</t>
  </si>
  <si>
    <t>Shaw Fabrics Vibe Blockout Syllabub</t>
  </si>
  <si>
    <t>Shaw Fabrics Vibe Blockout TBA</t>
  </si>
  <si>
    <t>Shaw Fabrics Vibe Blockout Terrace</t>
  </si>
  <si>
    <t>Shaw Fabrics Vibe Blockout Tundra</t>
  </si>
  <si>
    <t>Shaw Fabrics Vibe Blockout Umber</t>
  </si>
  <si>
    <t>Shaw Fabrics Vibe Blockout Whisper</t>
  </si>
  <si>
    <t>Texstyle Focus Blockout Ash</t>
  </si>
  <si>
    <t>Grey</t>
  </si>
  <si>
    <t>W4</t>
  </si>
  <si>
    <t>Texstyle Focus Blockout Chalk</t>
  </si>
  <si>
    <t>Texstyle Focus Blockout Cloud</t>
  </si>
  <si>
    <t>Texstyle Focus Blockout Coal</t>
  </si>
  <si>
    <t>Dark Grey</t>
  </si>
  <si>
    <t>Texstyle Focus Blockout Dove</t>
  </si>
  <si>
    <t>Texstyle Focus Blockout Ebony</t>
  </si>
  <si>
    <t>Texstyle Focus Blockout Espresso</t>
  </si>
  <si>
    <t>Colour No. 16</t>
  </si>
  <si>
    <t>Texstyle Focus Blockout Mist</t>
  </si>
  <si>
    <t>Texstyle Focus Blockout Oyster</t>
  </si>
  <si>
    <t>Texstyle Focus Blockout Shell</t>
  </si>
  <si>
    <t>Bone</t>
  </si>
  <si>
    <t>Texstyle Focus Blockout TBA</t>
  </si>
  <si>
    <t>Texstyle Focus Blockout Tempest</t>
  </si>
  <si>
    <t>Texstyle Focus Blockout White</t>
  </si>
  <si>
    <t>Texstyle Focus Blockout Polar</t>
  </si>
  <si>
    <t>Texstyle Focus Blockout Feather</t>
  </si>
  <si>
    <t>Texstyle Focus Blockout Bay</t>
  </si>
  <si>
    <t>Texstyle Focus Blockout Drift</t>
  </si>
  <si>
    <t>Texstyle Focus Blockout Magnetic</t>
  </si>
  <si>
    <t>Texstyle Focus Blockout Carbon</t>
  </si>
  <si>
    <t>Texstyle Solitaire Blockout Antique White</t>
  </si>
  <si>
    <t>Texstyle Solitaire Blockout Champagne</t>
  </si>
  <si>
    <t>Texstyle Solitaire Blockout Coffee</t>
  </si>
  <si>
    <t>Texstyle Solitaire Blockout Concord</t>
  </si>
  <si>
    <t>Texstyle Solitaire Blockout Granite</t>
  </si>
  <si>
    <t>Texstyle Solitaire Blockout Ironstone</t>
  </si>
  <si>
    <t>Texstyle Solitaire Blockout Onyx</t>
  </si>
  <si>
    <t>Texstyle Solitaire Blockout Peat</t>
  </si>
  <si>
    <t>Texstyle Solitaire Blockout Pepper</t>
  </si>
  <si>
    <t>Texstyle Solitaire Blockout Snow</t>
  </si>
  <si>
    <t>Texstyle Solitaire Blockout TBA</t>
  </si>
  <si>
    <t>Uniline Dawn Blockout Buttermilk</t>
  </si>
  <si>
    <t>F7</t>
  </si>
  <si>
    <t>Uniline Dawn Blockout Cocca</t>
  </si>
  <si>
    <t>Uniline Dawn Blockout Coffee</t>
  </si>
  <si>
    <t>Uniline Dawn Blockout Frappe</t>
  </si>
  <si>
    <t>Uniline Dawn Blockout Mocca</t>
  </si>
  <si>
    <t>Uniline Dawn Blockout Rapia</t>
  </si>
  <si>
    <t>Uniline Dawn Blockout Sage</t>
  </si>
  <si>
    <t>Uniline Dawn Blockout Seal</t>
  </si>
  <si>
    <t>Uniline Dawn Blockout TBA</t>
  </si>
  <si>
    <t>Uniline Dawn Blockout Titanium</t>
  </si>
  <si>
    <t>Uniline Dawn Blockout Wedgewood</t>
  </si>
  <si>
    <t>Uniline Dawn Mini Blockout Apple Fizz</t>
  </si>
  <si>
    <t>Uniline Dawn Mini Blockout Bubble Gum</t>
  </si>
  <si>
    <t>Uniline Dawn Mini Blockout Fairy Dust</t>
  </si>
  <si>
    <t>Uniline Dawn Mini Blockout Fire Engine</t>
  </si>
  <si>
    <t>Uniline Dawn Mini Blockout Periwinkle</t>
  </si>
  <si>
    <t>Uniline Dawn Mini Blockout Sunshine</t>
  </si>
  <si>
    <t>Uniline Dawn Mini Blockout Surf Safari</t>
  </si>
  <si>
    <t>Uniline Dawn Mini Blockout Tang</t>
  </si>
  <si>
    <t>Uniline Dawn Mini Blockout TBA</t>
  </si>
  <si>
    <t>Uniline Dawn Pearlised Blockout Charcoal</t>
  </si>
  <si>
    <t>Uniline Dawn Pearlised Blockout Fairstar</t>
  </si>
  <si>
    <t>Uniline Dawn Pearlised Blockout Ghost Gum</t>
  </si>
  <si>
    <t>Uniline Dawn Pearlised Blockout Harbour</t>
  </si>
  <si>
    <t>Uniline Dawn Pearlised Blockout Limestone</t>
  </si>
  <si>
    <t>Uniline Dawn Pearlised Blockout Raccoon</t>
  </si>
  <si>
    <t>Uniline Dawn Pearlised Blockout Snow</t>
  </si>
  <si>
    <t>Uniline Dawn Pearlised Blockout TBA</t>
  </si>
  <si>
    <t>Hunter Douglas Zen Blockout TBA</t>
  </si>
  <si>
    <t>Hunter Douglas Zen Blockout Cluster</t>
  </si>
  <si>
    <t>Hunter Douglas Zen Blockout Chi</t>
  </si>
  <si>
    <t>Hunter Douglas Zen Blockout Greyshee</t>
  </si>
  <si>
    <t>Hunter Douglas Zen Blockout Pluto</t>
  </si>
  <si>
    <t>Hunter Douglas Zen Blockout Oxide</t>
  </si>
  <si>
    <t>Hunter Douglas Zen Blockout Metalcon</t>
  </si>
  <si>
    <t>Hunter Douglas Zen Blockout Gravity</t>
  </si>
  <si>
    <t>Hunter Douglas Zen Blockout Stonehenge</t>
  </si>
  <si>
    <t>Hunter Douglas Zen Blockout Bounty</t>
  </si>
  <si>
    <t>Hunter Douglas Zen Blockout Gazing</t>
  </si>
  <si>
    <t>Hunter Douglas Zen Blockout Cashmere</t>
  </si>
  <si>
    <t>Hunter Douglas Zen Blockout Martini</t>
  </si>
  <si>
    <t>Hunter Douglas Zen Blockout Mario</t>
  </si>
  <si>
    <t>Hunter Douglas Zen Blockout Embrace</t>
  </si>
  <si>
    <t>Hunter Douglas Zen Blockout Sahara</t>
  </si>
  <si>
    <t>Hunter Douglas Zen Blockout Illusion</t>
  </si>
  <si>
    <t>Hunter Douglas Zen Blockout Element</t>
  </si>
  <si>
    <t>Hunter Douglas Zen Blockout Zelda</t>
  </si>
  <si>
    <t>Hunter Douglas Zen Blockout Arabica</t>
  </si>
  <si>
    <t>Hunter Douglas Zen Blockout Yen</t>
  </si>
  <si>
    <t>Uniline Sunset Blockout TBA</t>
  </si>
  <si>
    <t>Uniline Sunset Blockout Snow</t>
  </si>
  <si>
    <t>Uniline Sunset Blockout Antique</t>
  </si>
  <si>
    <t>Uniline Sunset Blockout Stone</t>
  </si>
  <si>
    <t>Uniline Sunset Blockout Vanilla</t>
  </si>
  <si>
    <t>Uniline Sunset Blockout Natural</t>
  </si>
  <si>
    <t>Uniline Sunset Blockout Lace</t>
  </si>
  <si>
    <t>Uniline Sunset Blockout Ecru</t>
  </si>
  <si>
    <t>Uniline Sunset Blockout Flax</t>
  </si>
  <si>
    <t>Uniline Sunset Blockout Sahara</t>
  </si>
  <si>
    <t>Uniline Sunset Blockout Cashew</t>
  </si>
  <si>
    <t>Uniline Sunset Blockout Parchment</t>
  </si>
  <si>
    <t>Uniline Sunset Blockout Pepper</t>
  </si>
  <si>
    <t>Uniline Sunset Blockout Bark</t>
  </si>
  <si>
    <t>Uniline Sunset Blockout Bone</t>
  </si>
  <si>
    <t>Uniline Sunset Blockout Beaver</t>
  </si>
  <si>
    <t>Uniline Sunset Blockout Taupe</t>
  </si>
  <si>
    <t>Uniline Sunset Blockout Lava</t>
  </si>
  <si>
    <t>Uniline Sunset Blockout Mushroom</t>
  </si>
  <si>
    <t>Uniline Sunset Blockout Silver</t>
  </si>
  <si>
    <t>Uniline Sunset Blockout Warm Grey</t>
  </si>
  <si>
    <t>Uniline Sunset Blockout Ash Grey</t>
  </si>
  <si>
    <t>Uniline Sunset Blockout Seal</t>
  </si>
  <si>
    <t>Uniline Sunset Blockout Onyx</t>
  </si>
  <si>
    <t>Uniline Dawn Blockout Alabaster</t>
  </si>
  <si>
    <t>Uniline Dawn Blockout Arum</t>
  </si>
  <si>
    <t>Uniline Dawn Blockout Ash Blue</t>
  </si>
  <si>
    <t>Uniline Dawn Blockout Beige</t>
  </si>
  <si>
    <t>Uniline Dawn Blockout Bison</t>
  </si>
  <si>
    <t>Uniline Dawn Blockout Black</t>
  </si>
  <si>
    <t>Uniline Dawn Blockout Cavier</t>
  </si>
  <si>
    <t>Uniline Dawn Blockout Cotton</t>
  </si>
  <si>
    <t>Uniline Dawn Blockout Crane</t>
  </si>
  <si>
    <t>Uniline Dawn Blockout Custom Cream</t>
  </si>
  <si>
    <t>Uniline Dawn Blockout Dark Grey</t>
  </si>
  <si>
    <t>Uniline Dawn Blockout Dune</t>
  </si>
  <si>
    <t>Uniline Dawn Blockout EarthenPewter</t>
  </si>
  <si>
    <t>Uniline Dawn Blockout Grey</t>
  </si>
  <si>
    <t>Uniline Dawn Blockout Light Bison</t>
  </si>
  <si>
    <t>Uniline Dawn Blockout Linen</t>
  </si>
  <si>
    <t>Uniline Dawn Blockout Macchiato</t>
  </si>
  <si>
    <t>Uniline Dawn Blockout Mariah</t>
  </si>
  <si>
    <t>Uniline Dawn Blockout Mid Grey</t>
  </si>
  <si>
    <t>Uniline Dawn Blockout Misty</t>
  </si>
  <si>
    <t>Uniline Dawn Blockout Natural</t>
  </si>
  <si>
    <t>Uniline Dawn Blockout Nutmeg</t>
  </si>
  <si>
    <t>Uniline Dawn Blockout Oyster</t>
  </si>
  <si>
    <t>Uniline Dawn Blockout Pebble</t>
  </si>
  <si>
    <t>Uniline Dawn Blockout Putty</t>
  </si>
  <si>
    <t>Uniline Dawn Blockout Royal Blue</t>
  </si>
  <si>
    <t>Uniline Dawn Blockout Sesame</t>
  </si>
  <si>
    <t>Uniline Dawn Blockout Shale</t>
  </si>
  <si>
    <t>Uniline Dawn Blockout Slate</t>
  </si>
  <si>
    <t>Uniline Dawn Blockout Soft Grey</t>
  </si>
  <si>
    <t>Uniline Dawn Blockout Taupe</t>
  </si>
  <si>
    <t>Uniline Dawn Blockout Warm White</t>
  </si>
  <si>
    <t>Uniline Dawn Blockout White</t>
  </si>
  <si>
    <t>Shaw Fabrics Duo Block 3.0 Aztec</t>
  </si>
  <si>
    <t>F12</t>
  </si>
  <si>
    <t>Shaw Fabrics Duo Block 3.0 Basalt</t>
  </si>
  <si>
    <t>Shaw Fabrics Duo Block 3.0 Calm</t>
  </si>
  <si>
    <t>Shaw Fabrics Duo Block 3.0 Carbon</t>
  </si>
  <si>
    <t>Shaw Fabrics Duo Block 3.0 Cumulus</t>
  </si>
  <si>
    <t>Shaw Fabrics Duo Block 3.0 Dove</t>
  </si>
  <si>
    <t>Shaw Fabrics Duo Block 3.0 Muse</t>
  </si>
  <si>
    <t>Shaw Fabrics Duo Block 3.0 Nova</t>
  </si>
  <si>
    <t>Shaw Fabrics Duo Block 3.0 Salt</t>
  </si>
  <si>
    <t>Shaw Fabrics Duo Block 3.0 Stella</t>
  </si>
  <si>
    <t>Shaw Fabrics Duo Block 3.0 TBA</t>
  </si>
  <si>
    <t>Fabric &amp; Colour</t>
  </si>
  <si>
    <t>Component Colour</t>
  </si>
  <si>
    <t>Chain Colour</t>
  </si>
  <si>
    <t>Braid Colour</t>
  </si>
  <si>
    <t>Stock fabric?</t>
  </si>
  <si>
    <t>Cotton Colour</t>
  </si>
  <si>
    <t>Motor Covers</t>
  </si>
  <si>
    <t>Cutting Head</t>
  </si>
  <si>
    <t>Fabric Location</t>
  </si>
  <si>
    <t>Louvolite ABC Blockout TBA</t>
  </si>
  <si>
    <t>F2</t>
  </si>
  <si>
    <t>Louvolite Acacia Blockout TBA</t>
  </si>
  <si>
    <t>Louvolite Acacia Blockout Caraway</t>
  </si>
  <si>
    <t>Louvolite Acacia Blockout Ebony</t>
  </si>
  <si>
    <t>Louvolite Argent Blockout TBA</t>
  </si>
  <si>
    <t>Louvolite Argent Blockout Champagne</t>
  </si>
  <si>
    <t>Louvolite Argent Blockout Copper</t>
  </si>
  <si>
    <t>Louvolite Argent Blockout Gold</t>
  </si>
  <si>
    <t>Wilson Fabrics Aspen Blockout Charcoal</t>
  </si>
  <si>
    <t>Wilson Fabrics Aspen Blockout Mink</t>
  </si>
  <si>
    <t>Wilson Fabrics Aspen Blockout Oyster</t>
  </si>
  <si>
    <t>Wilson Fabrics Aspen Blockout Pewter</t>
  </si>
  <si>
    <t>Wilson Fabrics Aspen Blockout Snow</t>
  </si>
  <si>
    <t>Wilson Fabrics Aspen Blockout Snowgum</t>
  </si>
  <si>
    <t>Wilson Fabrics Aspen Blockout Stone</t>
  </si>
  <si>
    <t>Shaw Fabrics Aventus Sunscreen 5% Charcoal</t>
  </si>
  <si>
    <t>Shaw Fabrics Aventus Sunscreen 5% Charcoal Bronze</t>
  </si>
  <si>
    <t>Shaw Fabrics Aventus Sunscreen 5% Charcoal Denim</t>
  </si>
  <si>
    <t>Shaw Fabrics Aventus Sunscreen 5% Charcoal Grey</t>
  </si>
  <si>
    <t>Shaw Fabrics Aventus Sunscreen 5% Concrete</t>
  </si>
  <si>
    <t>Shaw Fabrics Aventus Sunscreen 5% Domino</t>
  </si>
  <si>
    <t>Shaw Fabrics Aventus Sunscreen 5% Dune Grey</t>
  </si>
  <si>
    <t>Shaw Fabrics Aventus Sunscreen 5% Graphite</t>
  </si>
  <si>
    <t>Shaw Fabrics Aventus Sunscreen 5% Gull</t>
  </si>
  <si>
    <t>Shaw Fabrics Aventus Sunscreen 5% Ice</t>
  </si>
  <si>
    <t>Shaw Fabrics Aventus Sunscreen 5% Pewter</t>
  </si>
  <si>
    <t>Shaw Fabrics Aventus Sunscreen 5% Platinum</t>
  </si>
  <si>
    <t>Shaw Fabrics Aventus Sunscreen 5% TBA</t>
  </si>
  <si>
    <t>Shaw Fabrics Aventus Sunscreen 5% White</t>
  </si>
  <si>
    <t>Shaw Fabrics Aventus Sunscreen 5% White Grey</t>
  </si>
  <si>
    <t>Shaw Fabrics Aventus Sunscreen 5% White Linen</t>
  </si>
  <si>
    <t>Shaw Fabrics Aventus Sunscreen 5% White Stone</t>
  </si>
  <si>
    <t>Shaw Fabrics Aventus Sunscreen 5% Wren</t>
  </si>
  <si>
    <t>Hunter Douglas Avila Blockout TBA</t>
  </si>
  <si>
    <t>Hunter Douglas Avila Blockout Angel</t>
  </si>
  <si>
    <t>Hunter Douglas Avila Blockout White</t>
  </si>
  <si>
    <t>Hunter Douglas Avila Blockout Chalk</t>
  </si>
  <si>
    <t>Hunter Douglas Avila Blockout Canvas</t>
  </si>
  <si>
    <t>Hunter Douglas Avila Blockout Pewter</t>
  </si>
  <si>
    <t>Hunter Douglas Avila Blockout Charcoal</t>
  </si>
  <si>
    <t>Hunter Douglas Avila Blockout Black</t>
  </si>
  <si>
    <t>Hunter Douglas Avila Blockout Vivid</t>
  </si>
  <si>
    <t>Hunter Douglas Avila Blockout Lightning</t>
  </si>
  <si>
    <t>Texstyle Balmoral Blockout Armour</t>
  </si>
  <si>
    <t xml:space="preserve">Nickel Steel </t>
  </si>
  <si>
    <t>W8</t>
  </si>
  <si>
    <t>Texstyle Balmoral Blockout Birch</t>
  </si>
  <si>
    <t>Texstyle Balmoral Blockout Bourneville</t>
  </si>
  <si>
    <t>Texstyle Balmoral Blockout Chrome</t>
  </si>
  <si>
    <t>Texstyle Balmoral Blockout Concrete</t>
  </si>
  <si>
    <t>Texstyle Balmoral Blockout Dove</t>
  </si>
  <si>
    <t>Texstyle Balmoral Blockout Jet</t>
  </si>
  <si>
    <t>Texstyle Balmoral Blockout Pearl</t>
  </si>
  <si>
    <t>Texstyle Balmoral Blockout Platinum</t>
  </si>
  <si>
    <t>Texstyle Balmoral Blockout Putty</t>
  </si>
  <si>
    <t>Texstyle Balmoral Blockout Pyrite</t>
  </si>
  <si>
    <t>Texstyle Balmoral Blockout Steel</t>
  </si>
  <si>
    <t>Texstyle Balmoral Blockout TBA</t>
  </si>
  <si>
    <t>Texstyle Balmoral Blockout White</t>
  </si>
  <si>
    <t>Hunter Douglas Baltic Plus Blockout TBA</t>
  </si>
  <si>
    <t>Hunter Douglas Baltic Plus Blockout Froth</t>
  </si>
  <si>
    <t>Hunter Douglas Baltic Plus Blockout Shake</t>
  </si>
  <si>
    <t>Hunter Douglas Baltic Plus Blockout Chalk</t>
  </si>
  <si>
    <t>Hunter Douglas Baltic Plus Blockout Losta</t>
  </si>
  <si>
    <t>Hunter Douglas Baltic Plus Blockout Linen</t>
  </si>
  <si>
    <t>Hunter Douglas Baltic Plus Blockout Pumice</t>
  </si>
  <si>
    <t>Hunter Douglas Baltic Plus Blockout Nordic</t>
  </si>
  <si>
    <t>Hunter Douglas Baltic Plus Blockout Cosmos</t>
  </si>
  <si>
    <t>Hunter Douglas Baltic Plus Blockout Nightsky</t>
  </si>
  <si>
    <t>Hunter Douglas Baltic Plus Blockout Oxford</t>
  </si>
  <si>
    <t>Texstyle Barbados Blockout Driftwood</t>
  </si>
  <si>
    <t>F15</t>
  </si>
  <si>
    <t>Texstyle Barbados Blockout Dune</t>
  </si>
  <si>
    <t>Texstyle Barbados Blockout Paperbark</t>
  </si>
  <si>
    <t>Texstyle Barbados Blockout Pumice</t>
  </si>
  <si>
    <t>Texstyle Barbados Blockout Sand</t>
  </si>
  <si>
    <t>Texstyle Barbados Blockout Surf</t>
  </si>
  <si>
    <t>Texstyle Barbados Blockout TBA</t>
  </si>
  <si>
    <t>Four Families Bauhaus Blockout Dawn</t>
  </si>
  <si>
    <t>Four Families Bauhaus Blockout Dove</t>
  </si>
  <si>
    <t>Four Families Bauhaus Blockout Dusk</t>
  </si>
  <si>
    <t>Four Families Bauhaus Blockout Pepper</t>
  </si>
  <si>
    <t>Four Families Bauhaus Blockout Shell</t>
  </si>
  <si>
    <t>Four Families Bauhaus Blockout Smoke</t>
  </si>
  <si>
    <t>Four Families Bauhaus Blockout TBA</t>
  </si>
  <si>
    <t>Louvolite Bayside Blockout TBA</t>
  </si>
  <si>
    <t>Louvolite Birdsong Blockout Daybreak</t>
  </si>
  <si>
    <t>Louvolite Birdsong Blockout Midnight</t>
  </si>
  <si>
    <t>Louvolite Birdsong Blockout TBA</t>
  </si>
  <si>
    <t>Louvolite Boleyn Blockout TBA</t>
  </si>
  <si>
    <t>Four Families Bond Blockout Ice</t>
  </si>
  <si>
    <t>Four Families Bond Blockout Chalk</t>
  </si>
  <si>
    <t>Four Families Bond Blockout Linen</t>
  </si>
  <si>
    <t>Four Families Bond Blockout Taupe</t>
  </si>
  <si>
    <t>Four Families Bond Blockout Cloud</t>
  </si>
  <si>
    <t>Four Families Bond Blockout Concrete</t>
  </si>
  <si>
    <t>Four Families Bond Blockout Granite</t>
  </si>
  <si>
    <t>Four Families Bond Blockout Charcoal</t>
  </si>
  <si>
    <t>Four Families Bond Blockout TBA</t>
  </si>
  <si>
    <t>Wilson Fabrics Boston II Blockout Charcoal</t>
  </si>
  <si>
    <t>Wilson Fabrics Boston II Blockout Chinchilla</t>
  </si>
  <si>
    <t>Wilson Fabrics Boston II Blockout Dawn</t>
  </si>
  <si>
    <t>Wilson Fabrics Boston II Blockout Grey</t>
  </si>
  <si>
    <t>Wilson Fabrics Boston II Blockout Linen</t>
  </si>
  <si>
    <t>Wilson Fabrics Boston II Blockout Marshmellow</t>
  </si>
  <si>
    <t>Wilson Fabrics Boston II Blockout Mist</t>
  </si>
  <si>
    <t>Wilson Fabrics Boston II Blockout Monument</t>
  </si>
  <si>
    <t>Wilson Fabrics Boston II Blockout Quartz</t>
  </si>
  <si>
    <t>Wilson Fabrics Boston II Blockout Shark</t>
  </si>
  <si>
    <t>Wilson Fabrics Boston II Blockout Silver</t>
  </si>
  <si>
    <t>Wilson Fabrics Boston II Blockout Stone</t>
  </si>
  <si>
    <t>Wilson Fabrics Boston II Blockout TBA</t>
  </si>
  <si>
    <t>Wilson Fabrics Broome Blockout Bone</t>
  </si>
  <si>
    <t>Wilson Fabrics Broome Blockout Buff</t>
  </si>
  <si>
    <t>Wilson Fabrics Broome Blockout Calm Grey</t>
  </si>
  <si>
    <t>Wilson Fabrics Broome Blockout Dove</t>
  </si>
  <si>
    <t>Wilson Fabrics Broome Blockout Egret</t>
  </si>
  <si>
    <t>Wilson Fabrics Broome Blockout Neutral Grey</t>
  </si>
  <si>
    <t>Wilson Fabrics Broome Blockout Onyx</t>
  </si>
  <si>
    <t>Wilson Fabrics Broome Blockout Rhino</t>
  </si>
  <si>
    <t>Wilson Fabrics Broome Blockout Shadow</t>
  </si>
  <si>
    <t>Wilson Fabrics Broome Blockout Silver Fox</t>
  </si>
  <si>
    <t>Wilson Fabrics Broome Blockout TBA</t>
  </si>
  <si>
    <t>Wilson Fabrics Broome II Blockout Bluewash</t>
  </si>
  <si>
    <t>Wilson Fabrics Broome II Blockout Fossil</t>
  </si>
  <si>
    <t>Wilson Fabrics Broome II Blockout Ivory</t>
  </si>
  <si>
    <t>Wilson Fabrics Broome II Blockout Mink</t>
  </si>
  <si>
    <t>Wilson Fabrics Broome II Blockout Monument</t>
  </si>
  <si>
    <t>Wilson Fabrics Broome II Blockout Nomad</t>
  </si>
  <si>
    <t>Wilson Fabrics Broome II Blockout Off White</t>
  </si>
  <si>
    <t>Wilson Fabrics Broome II Blockout Parchment</t>
  </si>
  <si>
    <t>Wilson Fabrics Broome II Blockout Platinum</t>
  </si>
  <si>
    <t>Wilson Fabrics Broome II Blockout Snow</t>
  </si>
  <si>
    <t>Wilson Fabrics Broome II Blockout Stone</t>
  </si>
  <si>
    <t>Wilson Fabrics Broome II Blockout TBA</t>
  </si>
  <si>
    <t>Wilson Fabrics Broome Translucent Bone</t>
  </si>
  <si>
    <t>Wilson Fabrics Broome Translucent Buff</t>
  </si>
  <si>
    <t>Wilson Fabrics Broome Translucent Calm Grey</t>
  </si>
  <si>
    <t>Wilson Fabrics Broome Translucent Dove</t>
  </si>
  <si>
    <t>Wilson Fabrics Broome Translucent Egret</t>
  </si>
  <si>
    <t>Wilson Fabrics Broome Translucent Neutral Grey</t>
  </si>
  <si>
    <t>Wilson Fabrics Broome Translucent Onyx</t>
  </si>
  <si>
    <t>Wilson Fabrics Broome Translucent Rhino</t>
  </si>
  <si>
    <t>Wilson Fabrics Broome Translucent Shadow</t>
  </si>
  <si>
    <t>Wilson Fabrics Broome Translucent Silver Fox</t>
  </si>
  <si>
    <t>Wilson Fabrics Broome Translucent TBA</t>
  </si>
  <si>
    <t>Turnils Collage Bryson Blockout Coconut</t>
  </si>
  <si>
    <t>Turnils Collage Bryson Blockout Natural Linen</t>
  </si>
  <si>
    <t>Turnils Collage Bryson Blockout Savannah</t>
  </si>
  <si>
    <t>Turnils Collage Bryson Blockout Pacific</t>
  </si>
  <si>
    <t>Turnils Collage Bryson Blockout Marrakesh</t>
  </si>
  <si>
    <t>Turnils Collage Bryson Blockout Granite</t>
  </si>
  <si>
    <t>Turnils Collage Bryson Blockout TBA</t>
  </si>
  <si>
    <t>Wilson Fabrics Buxton Blockout Charcoal</t>
  </si>
  <si>
    <t>Wilson Fabrics Buxton Blockout Eggshell</t>
  </si>
  <si>
    <t>Wilson Fabrics Buxton Blockout Granite</t>
  </si>
  <si>
    <t>Wilson Fabrics Buxton Blockout Mink</t>
  </si>
  <si>
    <t>Wilson Fabrics Buxton Blockout Pewter</t>
  </si>
  <si>
    <t>Wilson Fabrics Buxton Blockout Snow</t>
  </si>
  <si>
    <t>Wilson Fabrics Buxton Blockout Snowgum</t>
  </si>
  <si>
    <t>Wilson Fabrics Buxton Blockout Stone</t>
  </si>
  <si>
    <t>Wilson Fabrics Buxton Blockout TBA</t>
  </si>
  <si>
    <t>Louvolite Carnival Blockout Birch</t>
  </si>
  <si>
    <t>Louvolite Carnival Blockout Blossom</t>
  </si>
  <si>
    <t>Louvolite Carnival Blockout Bonbon</t>
  </si>
  <si>
    <t>Louvolite Carnival Blockout Buttercup</t>
  </si>
  <si>
    <t>Louvolite Carnival Blockout Caramel</t>
  </si>
  <si>
    <t>Louvolite Carnival Blockout Chartreuse</t>
  </si>
  <si>
    <t>Louvolite Carnival Blockout Chelsea Red</t>
  </si>
  <si>
    <t>Louvolite Carnival Blockout China White</t>
  </si>
  <si>
    <t>Louvolite Carnival Blockout Claret</t>
  </si>
  <si>
    <t>Louvolite Carnival Blockout Clay</t>
  </si>
  <si>
    <t>Louvolite Carnival Blockout Coral</t>
  </si>
  <si>
    <t>Louvolite Carnival Blockout Cornflour</t>
  </si>
  <si>
    <t>Louvolite Carnival Blockout Cream</t>
  </si>
  <si>
    <t>Louvolite Carnival Blockout Denim</t>
  </si>
  <si>
    <t>Louvolite Carnival Blockout Ecru</t>
  </si>
  <si>
    <t>Louvolite Carnival Blockout Fuschia</t>
  </si>
  <si>
    <t>Louvolite Carnival Blockout Grape</t>
  </si>
  <si>
    <t>Louvolite Carnival Blockout Heather</t>
  </si>
  <si>
    <t>Louvolite Carnival Blockout Hessian</t>
  </si>
  <si>
    <t>Louvolite Carnival Blockout Ivory</t>
  </si>
  <si>
    <t>Louvolite Carnival Blockout Ivy</t>
  </si>
  <si>
    <t>Louvolite Carnival Blockout Kiwi</t>
  </si>
  <si>
    <t>Louvolite Carnival Blockout Lily</t>
  </si>
  <si>
    <t>Louvolite Carnival Blockout Lime</t>
  </si>
  <si>
    <t>Louvolite Carnival Blockout Luna</t>
  </si>
  <si>
    <t>Louvolite Carnival Blockout Maraschino</t>
  </si>
  <si>
    <t>Louvolite Carnival Blockout Mink</t>
  </si>
  <si>
    <t>Louvolite Carnival Blockout Misty Blue</t>
  </si>
  <si>
    <t>Louvolite Carnival Blockout Mulberry</t>
  </si>
  <si>
    <t>Louvolite Carnival Blockout Navy</t>
  </si>
  <si>
    <t>Louvolite Carnival Blockout Ochre</t>
  </si>
  <si>
    <t>Louvolite Carnival Blockout Pacific</t>
  </si>
  <si>
    <t>Louvolite Carnival Blockout Paloma</t>
  </si>
  <si>
    <t>Louvolite Carnival Blockout Papaya</t>
  </si>
  <si>
    <t>Louvolite Carnival Blockout Peony</t>
  </si>
  <si>
    <t>Louvolite Carnival Blockout Pewter</t>
  </si>
  <si>
    <t>Louvolite Carnival Blockout Powder Blue</t>
  </si>
  <si>
    <t>Louvolite Carnival Blockout Praline</t>
  </si>
  <si>
    <t>Louvolite Carnival Blockout Purple</t>
  </si>
  <si>
    <t>Louvolite Carnival Blockout Raven</t>
  </si>
  <si>
    <t>Louvolite Carnival Blockout Royal</t>
  </si>
  <si>
    <t>Louvolite Carnival Blockout Scuba</t>
  </si>
  <si>
    <t>Louvolite Carnival Blockout Sky</t>
  </si>
  <si>
    <t>Louvolite Carnival Blockout Spring Green</t>
  </si>
  <si>
    <t>Louvolite Carnival Blockout Sunset</t>
  </si>
  <si>
    <t>Louvolite Carnival Blockout Taupe</t>
  </si>
  <si>
    <t>Louvolite Carnival Blockout TBA</t>
  </si>
  <si>
    <t>Louvolite Carnival Blockout Truffle</t>
  </si>
  <si>
    <t>Louvolite Carnival Blockout Willow</t>
  </si>
  <si>
    <t>Louvolite Carnival Blockout Dusk</t>
  </si>
  <si>
    <t>Texstyle Cascata Blockout TBA</t>
  </si>
  <si>
    <t>W12</t>
  </si>
  <si>
    <t>Texstyle Cascata Blockout Ardesia</t>
  </si>
  <si>
    <t>Texstyle Cascata Blockout Avorio</t>
  </si>
  <si>
    <t>Texstyle Cascata Blockout Baltico</t>
  </si>
  <si>
    <t>Texstyle Cascata Blockout Corvo</t>
  </si>
  <si>
    <t>Texstyle Cascata Blockout Mercurio</t>
  </si>
  <si>
    <t>Texstyle Cascata Blockout Neve</t>
  </si>
  <si>
    <t>Texstyle Cascata Blockout Nuvola</t>
  </si>
  <si>
    <t>Texstyle Cascata Blockout Pepe</t>
  </si>
  <si>
    <t>Texstyle Cascata Blockout Grigio</t>
  </si>
  <si>
    <t>Shann Window Fabrics Castille Blockout Black</t>
  </si>
  <si>
    <t>Shann Window Fabrics Castille Blockout Gravel</t>
  </si>
  <si>
    <t>Shann Window Fabrics Castille Blockout Concrete</t>
  </si>
  <si>
    <t>Shann Window Fabrics Castille Blockout Iron</t>
  </si>
  <si>
    <t>Shann Window Fabrics Castille Blockout Battleship</t>
  </si>
  <si>
    <t>Shann Window Fabrics Castille Blockout Ghost</t>
  </si>
  <si>
    <t>Shann Window Fabrics Castille Blockout Snow</t>
  </si>
  <si>
    <t>Shann Window Fabrics Castille Blockout Vanilla</t>
  </si>
  <si>
    <t>Shann Window Fabrics Castille Blockout Wheat</t>
  </si>
  <si>
    <t>Shann Window Fabrics Castille Blockout Paperbark</t>
  </si>
  <si>
    <t>Shann Window Fabrics Castille Blockout Twig</t>
  </si>
  <si>
    <t>Shann Window Fabrics Castille Blockout Earth</t>
  </si>
  <si>
    <t>Shann Window Fabrics Castille Blockout TBA</t>
  </si>
  <si>
    <t>Louvolite Chatsworth Blockout TBA</t>
  </si>
  <si>
    <t>Shaw Fabrics Chatsworth Blockout Aztec</t>
  </si>
  <si>
    <t>Shaw Fabrics Chatsworth Blockout Beluga</t>
  </si>
  <si>
    <t>Shaw Fabrics Chatsworth Blockout Cinnamon</t>
  </si>
  <si>
    <t>Shaw Fabrics Chatsworth Blockout Crystal</t>
  </si>
  <si>
    <t>Shaw Fabrics Chatsworth Blockout Fawn</t>
  </si>
  <si>
    <t>Shaw Fabrics Chatsworth Blockout Ganache</t>
  </si>
  <si>
    <t>Shaw Fabrics Chatsworth Blockout Gemstone</t>
  </si>
  <si>
    <t>Shaw Fabrics Chatsworth Blockout Lunar</t>
  </si>
  <si>
    <t>Shaw Fabrics Chatsworth Blockout Portabello</t>
  </si>
  <si>
    <t>Shaw Fabrics Chatsworth Blockout Rice</t>
  </si>
  <si>
    <t>Shaw Fabrics Chatsworth Blockout Royale</t>
  </si>
  <si>
    <t>Shaw Fabrics Chatsworth Blockout Shimmer</t>
  </si>
  <si>
    <t>Shaw Fabrics Chatsworth Blockout TBA</t>
  </si>
  <si>
    <t>Louvolite Cherry Blossom Blockout  Geisha</t>
  </si>
  <si>
    <t>Louvolite Cherry Blossom Blockout  Kimono</t>
  </si>
  <si>
    <t>Louvolite Cherry Blossom Blockout  Serenity</t>
  </si>
  <si>
    <t>Louvolite Cherry Blossom Blockout  TBA</t>
  </si>
  <si>
    <t>Hunter Douglas Chester Blockout TBA</t>
  </si>
  <si>
    <t>Hunter Douglas Chester Blockout Adobe</t>
  </si>
  <si>
    <t>Hunter Douglas Chester Blockout Scandi</t>
  </si>
  <si>
    <t>Hunter Douglas Chester Blockout Cedar</t>
  </si>
  <si>
    <t>Hunter Douglas Chester Blockout Felt</t>
  </si>
  <si>
    <t>Hunter Douglas Chester Blockout Metro</t>
  </si>
  <si>
    <t>Hunter Douglas Chester Blockout Crude</t>
  </si>
  <si>
    <t>Louvolite Cheviot Blockout TBA</t>
  </si>
  <si>
    <t>Louvolite Cheviot Blockout Quartz</t>
  </si>
  <si>
    <t>Louvolite Cheviot Blockout Glacier</t>
  </si>
  <si>
    <t>Louvolite Cheviot Blockout Stratus</t>
  </si>
  <si>
    <t>Louvolite Cheviot Blockout Harbour</t>
  </si>
  <si>
    <t>Louvolite Cheviot Blockout Pebble</t>
  </si>
  <si>
    <t>Louvolite Chrysanthemum Blockout TBA</t>
  </si>
  <si>
    <t>Louvolite Collina Blockout Antique Gold</t>
  </si>
  <si>
    <t>Louvolite Collina Blockout Champange Fizz</t>
  </si>
  <si>
    <t>Louvolite Collina Blockout Diamond Dust</t>
  </si>
  <si>
    <t>Louvolite Collina Blockout Lily Pad</t>
  </si>
  <si>
    <t>Louvolite Collina Blockout Moonlight Mink</t>
  </si>
  <si>
    <t>Louvolite Collina Blockout TBA</t>
  </si>
  <si>
    <t>Wilson Fabrics Concord Blockout Bone</t>
  </si>
  <si>
    <t>Wilson Fabrics Concord Blockout Charcoal</t>
  </si>
  <si>
    <t>Wilson Fabrics Concord Blockout Cool Grey</t>
  </si>
  <si>
    <t>Wilson Fabrics Concord Blockout Mist</t>
  </si>
  <si>
    <t>Wilson Fabrics Concord Blockout Oyster</t>
  </si>
  <si>
    <t>Wilson Fabrics Concord Blockout Shark</t>
  </si>
  <si>
    <t>Wilson Fabrics Concord Blockout Snow</t>
  </si>
  <si>
    <t>Wilson Fabrics Concord Blockout TBA</t>
  </si>
  <si>
    <t>Wilson Fabrics Concord II Blockout Antique</t>
  </si>
  <si>
    <t>Wilson Fabrics Concord II Blockout Ash</t>
  </si>
  <si>
    <t>Wilson Fabrics Concord II Blockout Concrete</t>
  </si>
  <si>
    <t>Wilson Fabrics Concord II Blockout Ecru</t>
  </si>
  <si>
    <t>Wilson Fabrics Concord II Blockout Egret</t>
  </si>
  <si>
    <t>Wilson Fabrics Concord II Blockout Fog</t>
  </si>
  <si>
    <t>Wilson Fabrics Concord II Blockout Ironbark</t>
  </si>
  <si>
    <t>Wilson Fabrics Concord II Blockout Pebble</t>
  </si>
  <si>
    <t>Wilson Fabrics Concord II Blockout Silver</t>
  </si>
  <si>
    <t>Wilson Fabrics Concord II Blockout Slate</t>
  </si>
  <si>
    <t>Wilson Fabrics Concord II Blockout Stone</t>
  </si>
  <si>
    <t>Wilson Fabrics Concord II Blockout TBA</t>
  </si>
  <si>
    <t>Louvolite Cosmic Dream Blockout TBA</t>
  </si>
  <si>
    <t>Louvolite Crush Blockout Cream</t>
  </si>
  <si>
    <t xml:space="preserve">Louvolite Crush Blockout Neutrals </t>
  </si>
  <si>
    <t>Louvolite Crush Blockout Whisper White</t>
  </si>
  <si>
    <t>Louvolite Crush Blockout TBA</t>
  </si>
  <si>
    <t>Wilson Fabrics Daintree Blockout Charcoal</t>
  </si>
  <si>
    <t>Wilson Fabrics Daintree Blockout Cream</t>
  </si>
  <si>
    <t>Wilson Fabrics Daintree Blockout Granite</t>
  </si>
  <si>
    <t>Wilson Fabrics Daintree Blockout Linen</t>
  </si>
  <si>
    <t>Wilson Fabrics Daintree Blockout Mist</t>
  </si>
  <si>
    <t>Wilson Fabrics Daintree Blockout Pebble</t>
  </si>
  <si>
    <t>Wilson Fabrics Daintree Blockout Silver</t>
  </si>
  <si>
    <t>Wilson Fabrics Daintree Blockout White</t>
  </si>
  <si>
    <t>Wilson Fabrics Daintree Blockout TBA</t>
  </si>
  <si>
    <t>Louvolite Damask B/O Stone</t>
  </si>
  <si>
    <t>Louvolite Denim Blockout TBA</t>
  </si>
  <si>
    <t>Louvolite Dinosaurs Blockout TBA</t>
  </si>
  <si>
    <t>Shaw Fabrics Duo Blockout Aztec</t>
  </si>
  <si>
    <t>Shaw Fabrics Duo Blockout Basalt</t>
  </si>
  <si>
    <t>Shaw Fabrics Duo Blockout Dove</t>
  </si>
  <si>
    <t>Shaw Fabrics Duo Blockout Iron</t>
  </si>
  <si>
    <t>Shaw Fabrics Duo Blockout Nova</t>
  </si>
  <si>
    <t>Shaw Fabrics Duo Blockout Salt</t>
  </si>
  <si>
    <t>Shaw Fabrics Duo Blockout Shadow</t>
  </si>
  <si>
    <t>Shaw Fabrics Duo Blockout Stella</t>
  </si>
  <si>
    <t>Shaw Fabrics Duo Blockout TBA</t>
  </si>
  <si>
    <t>Shaw Fabrics Duo Blockout Tempo</t>
  </si>
  <si>
    <t>Shaw Fabrics Duo Sunscreen Charcoal</t>
  </si>
  <si>
    <t>Shaw Fabrics Duo Sunscreen Charcoal Grey</t>
  </si>
  <si>
    <t>Shaw Fabrics Duo Sunscreen Charcoal Slate</t>
  </si>
  <si>
    <t>Shaw Fabrics Duo Sunscreen Dune Grey</t>
  </si>
  <si>
    <t>Shaw Fabrics Duo Sunscreen Grey</t>
  </si>
  <si>
    <t>Shaw Fabrics Duo Sunscreen TBA</t>
  </si>
  <si>
    <t>Shaw Fabrics Duo Sunscreen White</t>
  </si>
  <si>
    <t>Shaw Fabrics Duo Sunscreen White Grey</t>
  </si>
  <si>
    <t>Shaw Fabrics Duo Sunscreen White Linen</t>
  </si>
  <si>
    <t>Shaw Fabrics Duo Sunscreen White Stone</t>
  </si>
  <si>
    <t>Shaw Fabrics Edge Blockout Alabaster</t>
  </si>
  <si>
    <t>Shaw Fabrics Edge Blockout Ammonite</t>
  </si>
  <si>
    <t>Shaw Fabrics Edge Blockout Bright White</t>
  </si>
  <si>
    <t>Shaw Fabrics Edge Blockout Calico</t>
  </si>
  <si>
    <t>Shaw Fabrics Edge Blockout Charcoal</t>
  </si>
  <si>
    <t>Shaw Fabrics Edge Blockout Ironstone</t>
  </si>
  <si>
    <t>Shaw Fabrics Edge Blockout Pumice</t>
  </si>
  <si>
    <t>Shaw Fabrics Edge Blockout Soft Grey</t>
  </si>
  <si>
    <t>Shaw Fabrics Edge Blockout TBA</t>
  </si>
  <si>
    <t>Hunter Douglas Elements Blockout TBA</t>
  </si>
  <si>
    <t>Hunter Douglas Elements Blockout White</t>
  </si>
  <si>
    <t>Hunter Douglas Elements Blockout Pearl</t>
  </si>
  <si>
    <t>Hunter Douglas Elements Blockout Linen</t>
  </si>
  <si>
    <t>Hunter Douglas Elements Blockout Weathered Stone</t>
  </si>
  <si>
    <t>Hunter Douglas Elements Blockout Storm Wheat BV</t>
  </si>
  <si>
    <t>Hunter Douglas Elements Blockout Pebble</t>
  </si>
  <si>
    <t>Hunter Douglas Elements Blockout Shale</t>
  </si>
  <si>
    <t>Hunter Douglas Elements Blockout Midnight Storm</t>
  </si>
  <si>
    <t>Hunter Douglas Elements Blockout Midnight Bronze</t>
  </si>
  <si>
    <t>Hunter Douglas Elements Blockout Midnight Smudge</t>
  </si>
  <si>
    <t>Hunter Douglas Elements Blockout Midnight</t>
  </si>
  <si>
    <t>Hunter Douglas Elements Blockout Athena</t>
  </si>
  <si>
    <t>Hunter Douglas Elements Blockout Zurich</t>
  </si>
  <si>
    <t>Hunter Douglas Elements Blockout Spoon</t>
  </si>
  <si>
    <t>Hunter Douglas Elements Blockout Pure White</t>
  </si>
  <si>
    <t>Shaw Fabrics Endota Blockout Blanched Almond</t>
  </si>
  <si>
    <t>Shaw Fabrics Endota Blockout Cashmere</t>
  </si>
  <si>
    <t>Shaw Fabrics Endota Blockout Cool Black</t>
  </si>
  <si>
    <t>Shaw Fabrics Endota Blockout Eucalypt</t>
  </si>
  <si>
    <t>Shaw Fabrics Endota Blockout Flagstone</t>
  </si>
  <si>
    <t>Shaw Fabrics Endota Blockout Gentle Grey</t>
  </si>
  <si>
    <t>Shaw Fabrics Endota Blockout Smokey</t>
  </si>
  <si>
    <t>Shaw Fabrics Endota Blockout Soft Sable</t>
  </si>
  <si>
    <t>Shaw Fabrics Endota Blockout Natural White</t>
  </si>
  <si>
    <t>Shaw Fabrics Endota Blockout Pastel</t>
  </si>
  <si>
    <t>Shaw Fabrics Endota Blockout Optic</t>
  </si>
  <si>
    <t>Shaw Fabrics Endota Blockout TBA</t>
  </si>
  <si>
    <t>Texstyle Enviroblock Blockout Arctic</t>
  </si>
  <si>
    <t>Texstyle Enviroblock Blockout Beige</t>
  </si>
  <si>
    <t>Texstyle Enviroblock Blockout Bronze Pearl</t>
  </si>
  <si>
    <t>Texstyle Enviroblock Blockout Icon</t>
  </si>
  <si>
    <t>Texstyle Enviroblock Blockout Raven</t>
  </si>
  <si>
    <t>Texstyle Enviroblock Blockout Shimmer</t>
  </si>
  <si>
    <t>Texstyle Enviroblock Blockout Stone</t>
  </si>
  <si>
    <t>Texstyle Enviroblock Blockout TBA</t>
  </si>
  <si>
    <t>Texstyle Gala Blockout Anchor</t>
  </si>
  <si>
    <t>F10</t>
  </si>
  <si>
    <t>Texstyle Gala Blockout Apple</t>
  </si>
  <si>
    <t>Texstyle Gala Blockout Atlantic</t>
  </si>
  <si>
    <t>Texstyle Gala Blockout Beach</t>
  </si>
  <si>
    <t>Texstyle Gala Blockout Boardwalk</t>
  </si>
  <si>
    <t>Texstyle Gala Blockout Bounty</t>
  </si>
  <si>
    <t>Texstyle Gala Blockout Breeze</t>
  </si>
  <si>
    <t>Texstyle Gala Blockout Chilli</t>
  </si>
  <si>
    <t>Texstyle Gala Blockout Dusk</t>
  </si>
  <si>
    <t>Texstyle Gala Blockout Eclipse</t>
  </si>
  <si>
    <t>Texstyle Gala Blockout Espy</t>
  </si>
  <si>
    <t>Cream</t>
  </si>
  <si>
    <t>Texstyle Gala Blockout Feather</t>
  </si>
  <si>
    <t>Texstyle Gala Blockout Fog</t>
  </si>
  <si>
    <t>Texstyle Gala Blockout Frost</t>
  </si>
  <si>
    <t>Texstyle Gala Blockout Harbour</t>
  </si>
  <si>
    <t>Texstyle Gala Blockout Island</t>
  </si>
  <si>
    <t>Texstyle Gala Blockout Jetty</t>
  </si>
  <si>
    <t>Texstyle Gala Blockout Pelican</t>
  </si>
  <si>
    <t>Texstyle Gala Blockout Salt</t>
  </si>
  <si>
    <t>Texstyle Gala Blockout Seashell</t>
  </si>
  <si>
    <t>Texstyle Gala Blockout Splash</t>
  </si>
  <si>
    <t>Texstyle Gala Blockout Twilight</t>
  </si>
  <si>
    <t>Shaw Fabrics Icon FR Blockout Ceylon</t>
  </si>
  <si>
    <t>Shaw Fabrics Icon FR Blockout Flora</t>
  </si>
  <si>
    <t>Shaw Fabrics Icon FR Blockout Harbour</t>
  </si>
  <si>
    <t>Shaw Fabrics Icon FR Blockout Jet</t>
  </si>
  <si>
    <t>Shaw Fabrics Icon FR Blockout Leather</t>
  </si>
  <si>
    <t>Shaw Fabrics Icon FR Blockout Liquorice</t>
  </si>
  <si>
    <t>Shaw Fabrics Icon FR Blockout Maritime</t>
  </si>
  <si>
    <t>Shaw Fabrics Icon FR Blockout Osprey</t>
  </si>
  <si>
    <t>Shaw Fabrics Icon FR Blockout Papyrus</t>
  </si>
  <si>
    <t>Shaw Fabrics Icon FR Blockout Sail</t>
  </si>
  <si>
    <t>Shaw Fabrics Icon FR Blockout Sculpture</t>
  </si>
  <si>
    <t>Shaw Fabrics Icon FR Blockout Sea Mist</t>
  </si>
  <si>
    <t>Shaw Fabrics Icon FR Blockout Solar</t>
  </si>
  <si>
    <t>Shaw Fabrics Icon FR Blockout Stonewash</t>
  </si>
  <si>
    <t>Shaw Fabrics Icon FR Blockout Taurus</t>
  </si>
  <si>
    <t>Shaw Fabrics Icon FR Blockout TBA</t>
  </si>
  <si>
    <t>Louvolite Iona Blockout TBA</t>
  </si>
  <si>
    <t>Louvolite Iona Blockout Forest</t>
  </si>
  <si>
    <t>Texstyle Jersey Blockout Opal</t>
  </si>
  <si>
    <t>W7</t>
  </si>
  <si>
    <t>Texstyle Jersey Blockout Organic</t>
  </si>
  <si>
    <t>Texstyle Jersey Blockout Pavement</t>
  </si>
  <si>
    <t>Texstyle Jersey Blockout Render</t>
  </si>
  <si>
    <t>Texstyle Jersey Blockout Steel</t>
  </si>
  <si>
    <t>Colour No. 77</t>
  </si>
  <si>
    <t>Texstyle Jersey Blockout Stone</t>
  </si>
  <si>
    <t>Texstyle Jersey Blockout TBA</t>
  </si>
  <si>
    <t>Texstyle Jersey Blockout Timber</t>
  </si>
  <si>
    <t>Colour No. 9</t>
  </si>
  <si>
    <t>Texstyle Jersey Blockout Lace</t>
  </si>
  <si>
    <t>Texstyle Jersey Blockout Mink</t>
  </si>
  <si>
    <t>Texstyle Jersey Blockout Ashen</t>
  </si>
  <si>
    <t>Texstyle Jersey Blockout Willow</t>
  </si>
  <si>
    <t>Texstyle Jersey Blockout Cinder</t>
  </si>
  <si>
    <t>Texstyle Jersey Blockout Sable</t>
  </si>
  <si>
    <t>Light Grey</t>
  </si>
  <si>
    <t>Texstyle Jersey Blockout Basalt</t>
  </si>
  <si>
    <t>Texstyle Jersey Blockout Ember</t>
  </si>
  <si>
    <t xml:space="preserve">Black </t>
  </si>
  <si>
    <t>Shaw Fabrics Karma Blockout Cliff</t>
  </si>
  <si>
    <t>F9</t>
  </si>
  <si>
    <t>Shaw Fabrics Karma Blockout Dew</t>
  </si>
  <si>
    <t>Shaw Fabrics Karma Blockout Frost</t>
  </si>
  <si>
    <t>Shaw Fabrics Karma Blockout Glade</t>
  </si>
  <si>
    <t>Shaw Fabrics Karma Blockout Haze</t>
  </si>
  <si>
    <t>Shaw Fabrics Karma Blockout Magma</t>
  </si>
  <si>
    <t>Shaw Fabrics Karma Blockout Moonscape</t>
  </si>
  <si>
    <t>Shaw Fabrics Karma Blockout Ocean</t>
  </si>
  <si>
    <t>Shaw Fabrics Karma Blockout Petrol</t>
  </si>
  <si>
    <t>Shaw Fabrics Karma Blockout Rock</t>
  </si>
  <si>
    <t>Shaw Fabrics Karma Blockout Sandstone</t>
  </si>
  <si>
    <t>Shaw Fabrics Karma Blockout Shell</t>
  </si>
  <si>
    <t>Shaw Fabrics Karma Blockout TBA</t>
  </si>
  <si>
    <t>Hunter Douglas Kenross Blockout TBA</t>
  </si>
  <si>
    <t>Hunter Douglas Kenross Blockout Lace</t>
  </si>
  <si>
    <t>Hunter Douglas Kenross Blockout Light Cream</t>
  </si>
  <si>
    <t>Hunter Douglas Kenross Blockout Gazelle</t>
  </si>
  <si>
    <t>Hunter Douglas Kenross Blockout Fog</t>
  </si>
  <si>
    <t>Hunter Douglas Kenross Blockout Natural</t>
  </si>
  <si>
    <t>Hunter Douglas Kenross Blockout Haze</t>
  </si>
  <si>
    <t>Hunter Douglas Kenross Blockout Dove</t>
  </si>
  <si>
    <t>Hunter Douglas Kenross Blockout Slate</t>
  </si>
  <si>
    <t>Hunter Douglas Kenross Blockout Graphite</t>
  </si>
  <si>
    <t>Texstyle Kew Blockout Bark</t>
  </si>
  <si>
    <t>Nickle Steel</t>
  </si>
  <si>
    <t>F11</t>
  </si>
  <si>
    <t>Texstyle Kew Blockout Clay</t>
  </si>
  <si>
    <t>Texstyle Kew Blockout Earth</t>
  </si>
  <si>
    <t>Texstyle Kew Blockout Flint</t>
  </si>
  <si>
    <t>Texstyle Kew Blockout Natural</t>
  </si>
  <si>
    <t xml:space="preserve">White </t>
  </si>
  <si>
    <t>Texstyle Kew Blockout Oak</t>
  </si>
  <si>
    <t>Texstyle Kew Blockout Oatmeal</t>
  </si>
  <si>
    <t>Texstyle Kew Blockout Orca</t>
  </si>
  <si>
    <t>Texstyle Kew Blockout Pebble</t>
  </si>
  <si>
    <t>Texstyle Kew Blockout Pewter</t>
  </si>
  <si>
    <t>Texstyle Kew Blockout TBA</t>
  </si>
  <si>
    <t>Texstyle Kew Blockout Tobacco</t>
  </si>
  <si>
    <t>Texstyle Kew Blockout Whisper</t>
  </si>
  <si>
    <t>Texstyle Kleenscreen Blockout Alloy</t>
  </si>
  <si>
    <t>U3</t>
  </si>
  <si>
    <t>W3</t>
  </si>
  <si>
    <t>Texstyle Kleenscreen Blockout Barley</t>
  </si>
  <si>
    <t>BIrch White</t>
  </si>
  <si>
    <t>Texstyle Kleenscreen Blockout Black</t>
  </si>
  <si>
    <t>Texstyle Kleenscreen Blockout Black Pearl</t>
  </si>
  <si>
    <t>Texstyle Kleenscreen Blockout Charcoal</t>
  </si>
  <si>
    <t>Texstyle Kleenscreen Blockout Ice</t>
  </si>
  <si>
    <t>Texstyle Kleenscreen Blockout Pewter</t>
  </si>
  <si>
    <t>Texstyle Kleenscreen Blockout Pumice</t>
  </si>
  <si>
    <t>Shaw Fabrics Le Reve Blockout Chalk</t>
  </si>
  <si>
    <t>Shaw Fabrics Le Reve Blockout Concrete</t>
  </si>
  <si>
    <t>Shaw Fabrics Le Reve Blockout Crystal</t>
  </si>
  <si>
    <t>Shaw Fabrics Le Reve Blockout Graphite</t>
  </si>
  <si>
    <t>Shaw Fabrics Le Reve Blockout Marble</t>
  </si>
  <si>
    <t>Shaw Fabrics Le Reve Blockout Mink</t>
  </si>
  <si>
    <t>Shaw Fabrics Le Reve Blockout Onyx</t>
  </si>
  <si>
    <t>Shaw Fabrics Le Reve Blockout Pewter</t>
  </si>
  <si>
    <t>Shaw Fabrics Le Reve Blockout Sand</t>
  </si>
  <si>
    <t>Shaw Fabrics Le Reve Blockout Shell</t>
  </si>
  <si>
    <t>Shaw Fabrics Le Reve Blockout TBA</t>
  </si>
  <si>
    <t>Shaw Fabrics Linesque Blockout Almond</t>
  </si>
  <si>
    <t>Shaw Fabrics Linesque Blockout Aspen</t>
  </si>
  <si>
    <t>Shaw Fabrics Linesque Blockout Blanco</t>
  </si>
  <si>
    <t>Shaw Fabrics Linesque Blockout Breeze</t>
  </si>
  <si>
    <t>Shaw Fabrics Linesque Blockout Denim</t>
  </si>
  <si>
    <t>Shaw Fabrics Linesque Blockout Dove</t>
  </si>
  <si>
    <t>Shaw Fabrics Linesque Blockout Fig</t>
  </si>
  <si>
    <t>Shaw Fabrics Linesque Blockout Fleece</t>
  </si>
  <si>
    <t>Shaw Fabrics Linesque Blockout Fossil</t>
  </si>
  <si>
    <t>Shaw Fabrics Linesque Blockout Raffia</t>
  </si>
  <si>
    <t>Shaw Fabrics Linesque Blockout Soba</t>
  </si>
  <si>
    <t>Shaw Fabrics Linesque Blockout TBA</t>
  </si>
  <si>
    <t>Shaw Fabrics Linesque Blockout Vine</t>
  </si>
  <si>
    <t>Louvolite Magnolia Blockout Inky</t>
  </si>
  <si>
    <t>Louvolite Magnolia Blockout Pipin</t>
  </si>
  <si>
    <t>Louvolite Magnolia Blockout Rosa</t>
  </si>
  <si>
    <t>Shaw Fabrics Mantra Blockout Cotton</t>
  </si>
  <si>
    <t>F5</t>
  </si>
  <si>
    <t>Shaw Fabrics Mantra Blockout Flint</t>
  </si>
  <si>
    <t>Shaw Fabrics Mantra Blockout Opal</t>
  </si>
  <si>
    <t>Shaw Fabrics Mantra Blockout Parchment</t>
  </si>
  <si>
    <t>Shaw Fabrics Mantra Blockout Seagrass</t>
  </si>
  <si>
    <t>Shaw Fabrics Mantra Blockout Seed Pearl</t>
  </si>
  <si>
    <t>Shaw Fabrics Mantra Blockout Sesame</t>
  </si>
  <si>
    <t>Shaw Fabrics Mantra Blockout Spice</t>
  </si>
  <si>
    <t>Shaw Fabrics Mantra Blockout TBA</t>
  </si>
  <si>
    <t>Shaw Fabrics Mantra Blockout Pebble</t>
  </si>
  <si>
    <t>Louvolite Marley Blockout TBA</t>
  </si>
  <si>
    <t>Wilson Fabrics Marley Blockout Charcoal</t>
  </si>
  <si>
    <t>Wilson Fabrics Marley Blockout Fossil</t>
  </si>
  <si>
    <t>Wilson Fabrics Marley Blockout Natural</t>
  </si>
  <si>
    <t>Wilson Fabrics Marley Blockout Ocean</t>
  </si>
  <si>
    <t>Wilson Fabrics Marley Blockout Pewter</t>
  </si>
  <si>
    <t>Wilson Fabrics Marley Blockout Steel</t>
  </si>
  <si>
    <t>Wilson Fabrics Marley Blockout Stone</t>
  </si>
  <si>
    <t>Wilson Fabrics Marley Blockout TBA</t>
  </si>
  <si>
    <t>Wilson Fabrics Marley Blockout White</t>
  </si>
  <si>
    <t>Louvolite Matrix Blockout TBA</t>
  </si>
  <si>
    <t>Wilson Fabrics Matrix Blockout Coffee</t>
  </si>
  <si>
    <t>Wilson Fabrics Matrix Blockout Ebony</t>
  </si>
  <si>
    <t>Wilson Fabrics Matrix Blockout Grey</t>
  </si>
  <si>
    <t>Wilson Fabrics Matrix Blockout Ivory</t>
  </si>
  <si>
    <t>Wilson Fabrics Matrix Blockout Mink</t>
  </si>
  <si>
    <t>Wilson Fabrics Matrix Blockout Pearl</t>
  </si>
  <si>
    <t>Wilson Fabrics Matrix Blockout Pewter</t>
  </si>
  <si>
    <t>Wilson Fabrics Matrix Blockout Pristine</t>
  </si>
  <si>
    <t>Wilson Fabrics Matrix Blockout Stone</t>
  </si>
  <si>
    <t>Wilson Fabrics Matrix Blockout TBA</t>
  </si>
  <si>
    <t>Wilson Fabrics Matrix Blockout White</t>
  </si>
  <si>
    <t>Wilson Fabrics Mercury II Blockout Ash</t>
  </si>
  <si>
    <t>Wilson Fabrics Mercury II Blockout Black</t>
  </si>
  <si>
    <t>Wilson Fabrics Mercury II Blockout Chinchilla</t>
  </si>
  <si>
    <t>Wilson Fabrics Mercury II Blockout Cinder</t>
  </si>
  <si>
    <t>Wilson Fabrics Mercury II Blockout Cream</t>
  </si>
  <si>
    <t>Wilson Fabrics Mercury II Blockout Ironbark</t>
  </si>
  <si>
    <t>Wilson Fabrics Mercury II Blockout Silver</t>
  </si>
  <si>
    <t>Wilson Fabrics Mercury II Blockout Snow</t>
  </si>
  <si>
    <t>Wilson Fabrics Mercury II Blockout Snowgum</t>
  </si>
  <si>
    <t>Wilson Fabrics Mercury II Blockout Steel</t>
  </si>
  <si>
    <t>Wilson Fabrics Mercury II Blockout Stone</t>
  </si>
  <si>
    <t>Wilson Fabrics Mercury II Blockout TBA</t>
  </si>
  <si>
    <t>Wilson Fabrics Mercury II Blockout White</t>
  </si>
  <si>
    <t>Texstyle Metroshade Blockout Black</t>
  </si>
  <si>
    <t>W1</t>
  </si>
  <si>
    <t>Texstyle Metroshade Blockout Dove/White</t>
  </si>
  <si>
    <t>Texstyle Metroshade Blockout Ecru</t>
  </si>
  <si>
    <t>Texstyle Metroshade Blockout Ice Grey</t>
  </si>
  <si>
    <t>Texstyle Metroshade Blockout Moonstone</t>
  </si>
  <si>
    <t>Texstyle Metroshade Blockout Nougat</t>
  </si>
  <si>
    <t>Texstyle Metroshade Blockout Pebble</t>
  </si>
  <si>
    <t>Texstyle Metroshade Blockout Quill</t>
  </si>
  <si>
    <t>Texstyle Metroshade Blockout Seal</t>
  </si>
  <si>
    <t>Texstyle Metroshade Blockout Slate</t>
  </si>
  <si>
    <t>Texstyle Metroshade Blockout Storm</t>
  </si>
  <si>
    <t>Texstyle Metroshade Blockout TBA</t>
  </si>
  <si>
    <t>Texstyle Metroshade Blockout Whitewash</t>
  </si>
  <si>
    <t>Wilson Fabrics Moma Blockout Black</t>
  </si>
  <si>
    <t>Wilson Fabrics Moma Blockout Iron</t>
  </si>
  <si>
    <t>Wilson Fabrics Moma Blockout Shitake</t>
  </si>
  <si>
    <t>Wilson Fabrics Moma Blockout Snow</t>
  </si>
  <si>
    <t>Wilson Fabrics Moma Blockout Stone</t>
  </si>
  <si>
    <t>Wilson Fabrics Moma Blockout TBA</t>
  </si>
  <si>
    <t>Wilson Fabrics Moma Blockout White</t>
  </si>
  <si>
    <t>Louvolite Night Night Blockout Glow</t>
  </si>
  <si>
    <t>Louvolite Night Safari Blockout TBA</t>
  </si>
  <si>
    <t>Texstyle One Block Blockout Black</t>
  </si>
  <si>
    <t>Texstyle One Block Blockout Charcoal</t>
  </si>
  <si>
    <t>Texstyle One Block Blockout Dune</t>
  </si>
  <si>
    <t>Texstyle One Block Blockout Grey</t>
  </si>
  <si>
    <t>Texstyle One Block Blockout Gunmetal</t>
  </si>
  <si>
    <t>Texstyle One Block Blockout Ice</t>
  </si>
  <si>
    <t>Texstyle One Block Blockout Linen Bronze</t>
  </si>
  <si>
    <t>Texstyle One Block Blockout Mercury</t>
  </si>
  <si>
    <t>Texstyle One Block Blockout Sand</t>
  </si>
  <si>
    <t>Texstyle One Block Blockout Silver Black</t>
  </si>
  <si>
    <t>Texstyle One Block Blockout TBA</t>
  </si>
  <si>
    <t>Texstyle One Block Blockout Wallaby</t>
  </si>
  <si>
    <t>Texstyle One Block Blockout White</t>
  </si>
  <si>
    <t>Louvolite Ophelia Blockout TBA</t>
  </si>
  <si>
    <t>Louvolite Oxley Blockout TBA</t>
  </si>
  <si>
    <t>Louvolite Oxley Blockout French Grey</t>
  </si>
  <si>
    <t>Shaw Fabrics Palm Beach Blockout Angora</t>
  </si>
  <si>
    <t>Shaw Fabrics Palm Beach Blockout Dusk</t>
  </si>
  <si>
    <t>Shaw Fabrics Palm Beach Blockout Gull</t>
  </si>
  <si>
    <t>Shaw Fabrics Palm Beach Blockout Horizon</t>
  </si>
  <si>
    <t>Shaw Fabrics Palm Beach Blockout Ink</t>
  </si>
  <si>
    <t>Shaw Fabrics Palm Beach Blockout Iron</t>
  </si>
  <si>
    <t>Shaw Fabrics Palm Beach Blockout Jasmine</t>
  </si>
  <si>
    <t>Shaw Fabrics Palm Beach Blockout Lyric</t>
  </si>
  <si>
    <t>Shaw Fabrics Palm Beach Blockout Merino</t>
  </si>
  <si>
    <t>Shaw Fabrics Palm Beach Blockout Monsoon</t>
  </si>
  <si>
    <t>Shaw Fabrics Palm Beach Blockout Pearl</t>
  </si>
  <si>
    <t>Shaw Fabrics Palm Beach Blockout Porpoise</t>
  </si>
  <si>
    <t>Shaw Fabrics Palm Beach Blockout Quartz</t>
  </si>
  <si>
    <t>Shaw Fabrics Palm Beach Blockout Quill</t>
  </si>
  <si>
    <t>Shaw Fabrics Palm Beach Blockout Steel</t>
  </si>
  <si>
    <t>Shaw Fabrics Palm Beach Blockout Summer Storm</t>
  </si>
  <si>
    <t>Shaw Fabrics Palm Beach Blockout TBA</t>
  </si>
  <si>
    <t>Shaw Fabrics Palm Beach Blockout Thunder</t>
  </si>
  <si>
    <t>Shaw Fabrics Palm Beach Blockout Urban</t>
  </si>
  <si>
    <t>Hunter Douglas Petra Blockout TBA</t>
  </si>
  <si>
    <t>Hunter Douglas Petra Blockout Foam</t>
  </si>
  <si>
    <t>Hunter Douglas Petra Blockout Brulee</t>
  </si>
  <si>
    <t>Hunter Douglas Petra Blockout Organic</t>
  </si>
  <si>
    <t>Hunter Douglas Petra Blockout Osprey</t>
  </si>
  <si>
    <t>Hunter Douglas Petra Blockout Oyster</t>
  </si>
  <si>
    <t>Hunter Douglas Petra Blockout Shimmer</t>
  </si>
  <si>
    <t>Hunter Douglas Petra Blockout Raven</t>
  </si>
  <si>
    <t>Hunter Douglas Petra Blockout Symphony</t>
  </si>
  <si>
    <t>Louvolite Planetarium Blockout TBA</t>
  </si>
  <si>
    <t>Four Families Resene Blockout Alabaster</t>
  </si>
  <si>
    <t>Four Families Resene Blockout All Black</t>
  </si>
  <si>
    <t>Four Families Resene Blockout Baltic Sea</t>
  </si>
  <si>
    <t>Four Families Resene Blockout Black White</t>
  </si>
  <si>
    <t>Four Families Resene Blockout Bokara Grey</t>
  </si>
  <si>
    <t>Four Families Resene Blockout Concrete</t>
  </si>
  <si>
    <t>Four Families Resene Blockout Double Stack</t>
  </si>
  <si>
    <t>Four Families Resene Blockout Masala</t>
  </si>
  <si>
    <t>Four Families Resene Blockout Quarter Tea</t>
  </si>
  <si>
    <t>Four Families Resene Blockout Rice Cake</t>
  </si>
  <si>
    <t>Four Families Resene Blockout Surrender</t>
  </si>
  <si>
    <t>Four Families Resene Blockout TBA</t>
  </si>
  <si>
    <t>Four Families Resene Blockout Truffle</t>
  </si>
  <si>
    <t>Texstyle Sanctuary Blockout Baltic</t>
  </si>
  <si>
    <t>W9</t>
  </si>
  <si>
    <t>Texstyle Sanctuary Blockout Ceramic</t>
  </si>
  <si>
    <t>Texstyle Sanctuary Blockout Fossil</t>
  </si>
  <si>
    <t>Texstyle Sanctuary Blockout Lava</t>
  </si>
  <si>
    <t>Texstyle Sanctuary Blockout Limestone</t>
  </si>
  <si>
    <t>Texstyle Sanctuary Blockout Marble</t>
  </si>
  <si>
    <t>Texstyle Sanctuary Blockout Mineral</t>
  </si>
  <si>
    <t>Texstyle Sanctuary Blockout Plaster</t>
  </si>
  <si>
    <t>Texstyle Sanctuary Blockout Slate</t>
  </si>
  <si>
    <t>Texstyle Sanctuary Blockout Suede</t>
  </si>
  <si>
    <t>Texstyle Sanctuary Blockout TBA</t>
  </si>
  <si>
    <t>Texstyle Sanctuary Blockout Truffle</t>
  </si>
  <si>
    <t>Hunter Douglas Scarborough Blockout TBA</t>
  </si>
  <si>
    <t>Hunter Douglas Scarborough Blockout Sugar</t>
  </si>
  <si>
    <t>Hunter Douglas Scarborough Blockout Sorbet</t>
  </si>
  <si>
    <t>Hunter Douglas Scarborough Blockout Biscuit</t>
  </si>
  <si>
    <t>Hunter Douglas Scarborough Blockout Oyster</t>
  </si>
  <si>
    <t>Hunter Douglas Scarborough Blockout Pepper</t>
  </si>
  <si>
    <t>Hunter Douglas Scarborough Blockout Trecale</t>
  </si>
  <si>
    <t>Hunter Douglas Scarborough Blockout Cocoa</t>
  </si>
  <si>
    <t>Hunter Douglas Scarborough Blockout Liquorice</t>
  </si>
  <si>
    <t>Texstyle Serengetti Blockout Albatross</t>
  </si>
  <si>
    <t>Texstyle Serengetti Blockout Antelope</t>
  </si>
  <si>
    <t>Texstyle Serengetti Blockout Caribou</t>
  </si>
  <si>
    <t>Texstyle Serengetti Blockout Chamois</t>
  </si>
  <si>
    <t>Texstyle Serengetti Blockout Eland</t>
  </si>
  <si>
    <t>Texstyle Serengetti Blockout Hyrax</t>
  </si>
  <si>
    <t>Texstyle Serengetti Blockout Jackal</t>
  </si>
  <si>
    <t>Texstyle Serengetti Blockout Llama</t>
  </si>
  <si>
    <t>Texstyle Serengetti Blockout Mamba</t>
  </si>
  <si>
    <t>Texstyle Serengetti Blockout Onyx</t>
  </si>
  <si>
    <t>Texstyle Serengetti Blockout Owl</t>
  </si>
  <si>
    <t>Texstyle Serengetti Blockout Panther</t>
  </si>
  <si>
    <t>Texstyle Serengetti Blockout Polar</t>
  </si>
  <si>
    <t>Texstyle Serengetti Blockout TBA</t>
  </si>
  <si>
    <t>Hunter Douglas Seychelles Plus Blockout TBA</t>
  </si>
  <si>
    <t>Hunter Douglas Seychelles Plus Blockout Ceramic</t>
  </si>
  <si>
    <t>Hunter Douglas Seychelles Plus Blockout Silver Pearl</t>
  </si>
  <si>
    <t>Hunter Douglas Seychelles Plus Blockout Essence</t>
  </si>
  <si>
    <t>Hunter Douglas Seychelles Plus Blockout Angora</t>
  </si>
  <si>
    <t>Hunter Douglas Seychelles Plus Blockout Champagne</t>
  </si>
  <si>
    <t>Hunter Douglas Seychelles Plus Blockout Drizzle</t>
  </si>
  <si>
    <t>Hunter Douglas Seychelles Plus Blockout Empire</t>
  </si>
  <si>
    <t>Louvolite Shot Silk Blockout Burgundy</t>
  </si>
  <si>
    <t>Louvolite Shot Silk Blockout Champagne</t>
  </si>
  <si>
    <t>Louvolite Shot Silk Blockout Cream</t>
  </si>
  <si>
    <t>Louvolite Shot Silk Blockout Duckegg</t>
  </si>
  <si>
    <t>Louvolite Shot Silk Blockout Ivory</t>
  </si>
  <si>
    <t>Louvolite Shot Silk Blockout Latte</t>
  </si>
  <si>
    <t>Louvolite Shot Silk Blockout Mink</t>
  </si>
  <si>
    <t>Louvolite Shot Silk Blockout Olive</t>
  </si>
  <si>
    <t>Louvolite Shot Silk Blockout TBA</t>
  </si>
  <si>
    <t>Louvolite Shot Silk Blockout Teal</t>
  </si>
  <si>
    <t>Blindware Signum Blockout Anthracite</t>
  </si>
  <si>
    <t>Blindware Signum Blockout Basalt</t>
  </si>
  <si>
    <t>Blindware Signum Blockout Charcoal</t>
  </si>
  <si>
    <t>Blindware Signum Blockout Coffee</t>
  </si>
  <si>
    <t>Blindware Signum Blockout Graphite</t>
  </si>
  <si>
    <t>Blindware Signum Blockout Grass Silk</t>
  </si>
  <si>
    <t>Blindware Signum Blockout Mist</t>
  </si>
  <si>
    <t>Blindware Signum Blockout Oak</t>
  </si>
  <si>
    <t>Blindware Signum Blockout Steel</t>
  </si>
  <si>
    <t>Blindware Signum Blockout Storm</t>
  </si>
  <si>
    <t>Blindware Signum Blockout TBA</t>
  </si>
  <si>
    <t>Blindware Signum Blockout Umber</t>
  </si>
  <si>
    <t>Blindware Signum Blockout Vanilla</t>
  </si>
  <si>
    <t>Blindware Signum Blockout White</t>
  </si>
  <si>
    <t>Shaw Fabrics Skye Blockout Blazer</t>
  </si>
  <si>
    <t>Shaw Fabrics Skye Blockout Chiffon</t>
  </si>
  <si>
    <t>Shaw Fabrics Skye Blockout Chrome</t>
  </si>
  <si>
    <t>Shaw Fabrics Skye Blockout Earl Grey</t>
  </si>
  <si>
    <t>Shaw Fabrics Skye Blockout Oyster</t>
  </si>
  <si>
    <t>Shaw Fabrics Skye Blockout Porcelain</t>
  </si>
  <si>
    <t>Shaw Fabrics Skye Blockout Raven</t>
  </si>
  <si>
    <t>Shaw Fabrics Skye Blockout Sail</t>
  </si>
  <si>
    <t>Shaw Fabrics Skye Blockout Swan</t>
  </si>
  <si>
    <t>Louvolite Strand Blockout TBA</t>
  </si>
  <si>
    <t>Blindware Sunbloc Blockout Bronze</t>
  </si>
  <si>
    <t>Blindware Sunbloc Blockout Charcoal</t>
  </si>
  <si>
    <t>Blindware Sunbloc Blockout Charcoal Apricot</t>
  </si>
  <si>
    <t>Blindware Sunbloc Blockout Charcoal Bronze</t>
  </si>
  <si>
    <t>Blindware Sunbloc Blockout Charcoal Grey</t>
  </si>
  <si>
    <t>Blindware Sunbloc Blockout Charcoal Sand</t>
  </si>
  <si>
    <t>Blindware Sunbloc Blockout Grey</t>
  </si>
  <si>
    <t>Blindware Sunbloc Blockout Linen</t>
  </si>
  <si>
    <t>Blindware Sunbloc Blockout TBA</t>
  </si>
  <si>
    <t>Blindware Sunbloc Blockout White</t>
  </si>
  <si>
    <t>Blindware Sunbloc Blockout White Grey</t>
  </si>
  <si>
    <t>Blindware Sunbloc Blockout White Linen</t>
  </si>
  <si>
    <t>Blindware Sunbloc Blockout White Stone</t>
  </si>
  <si>
    <t>Wilson Fabrics Sydney Blockout Charcoal</t>
  </si>
  <si>
    <t>Wilson Fabrics Sydney Blockout Dark Grey</t>
  </si>
  <si>
    <t>Wilson Fabrics Sydney Blockout Linen</t>
  </si>
  <si>
    <t>Wilson Fabrics Sydney Blockout Mist</t>
  </si>
  <si>
    <t>Wilson Fabrics Sydney Blockout Natural</t>
  </si>
  <si>
    <t>Wilson Fabrics Sydney Blockout Silver</t>
  </si>
  <si>
    <t>Wilson Fabrics Sydney Blockout Snow</t>
  </si>
  <si>
    <t>Wilson Fabrics Sydney Blockout TBA</t>
  </si>
  <si>
    <t>Wilson Fabrics Thredbo Blockout Snow</t>
  </si>
  <si>
    <t>Wilson Fabrics Thredbo Blockout White</t>
  </si>
  <si>
    <t>Wilson Fabrics Thredbo Blockout Ivory</t>
  </si>
  <si>
    <t>Wilson Fabrics Thredbo Blockout Pearl</t>
  </si>
  <si>
    <t>Wilson Fabrics Thredbo Blockout Snowgum</t>
  </si>
  <si>
    <t>Wilson Fabrics Thredbo Blockout Vanilla</t>
  </si>
  <si>
    <t>Wilson Fabrics Thredbo Blockout Cloud</t>
  </si>
  <si>
    <t>Wilson Fabrics Thredbo Blockout Ice Grey</t>
  </si>
  <si>
    <t>Wilson Fabrics Thredbo Blockout Mink</t>
  </si>
  <si>
    <t>Wilson Fabrics Thredbo Blockout Chrome</t>
  </si>
  <si>
    <t>Wilson Fabrics Thredbo Blockout Shark</t>
  </si>
  <si>
    <t>Wilson Fabrics Thredbo Blockout Jet</t>
  </si>
  <si>
    <t>Wilson Fabrics Thredbo Blockout Charcoal</t>
  </si>
  <si>
    <t>Wilson Fabrics Thredbo Blockout Ebony</t>
  </si>
  <si>
    <t>Wilson Fabrics Thredbo Blockout TBA</t>
  </si>
  <si>
    <t>Wilson Fabrics Tuscany II Blockout Ash</t>
  </si>
  <si>
    <t>Wilson Fabrics Tuscany II Blockout Charcoal</t>
  </si>
  <si>
    <t>Wilson Fabrics Tuscany II Blockout Eggshell</t>
  </si>
  <si>
    <t>Wilson Fabrics Tuscany II Blockout Granite</t>
  </si>
  <si>
    <t>Wilson Fabrics Tuscany II Blockout Linen</t>
  </si>
  <si>
    <t>Wilson Fabrics Tuscany II Blockout Mink</t>
  </si>
  <si>
    <t>Wilson Fabrics Tuscany II Blockout Natural</t>
  </si>
  <si>
    <t>Wilson Fabrics Tuscany II Blockout Parchment</t>
  </si>
  <si>
    <t>Wilson Fabrics Tuscany II Blockout Pewter</t>
  </si>
  <si>
    <t>Wilson Fabrics Tuscany II Blockout Silver</t>
  </si>
  <si>
    <t>Wilson Fabrics Tuscany II Blockout TBA</t>
  </si>
  <si>
    <t>Wilson Fabrics Tuscany II Blockout White</t>
  </si>
  <si>
    <t>Wilson Fabrics Uluru Blockout Charcoal</t>
  </si>
  <si>
    <t>Wilson Fabrics Uluru Blockout Dove</t>
  </si>
  <si>
    <t>Wilson Fabrics Uluru Blockout Gull</t>
  </si>
  <si>
    <t>Wilson Fabrics Uluru Blockout Light Grey</t>
  </si>
  <si>
    <t>Wilson Fabrics Uluru Blockout Natural</t>
  </si>
  <si>
    <t>Wilson Fabrics Uluru Blockout Night</t>
  </si>
  <si>
    <t>Wilson Fabrics Uluru Blockout Pebble</t>
  </si>
  <si>
    <t>Wilson Fabrics Uluru Blockout Sandstone</t>
  </si>
  <si>
    <t>Wilson Fabrics Uluru Blockout Slate</t>
  </si>
  <si>
    <t>Wilson Fabrics Uluru Blockout Stone</t>
  </si>
  <si>
    <t>Wilson Fabrics Uluru Blockout White</t>
  </si>
  <si>
    <t>Wilson Fabrics Uluru Blockout TBA</t>
  </si>
  <si>
    <t>Louvolite Valencia Blockout TBA</t>
  </si>
  <si>
    <t>Texstyle Vivid Block Blockout Black/Beige</t>
  </si>
  <si>
    <t>Texstyle Vivid Block Blockout Charcoal/Black</t>
  </si>
  <si>
    <t>Texstyle Vivid Block Blockout Charcoal/Grey</t>
  </si>
  <si>
    <t>Texstyle Vivid Block Blockout Linen/Bronze</t>
  </si>
  <si>
    <t>Texstyle Vivid Block Blockout TBA</t>
  </si>
  <si>
    <t>Texstyle Vivid Block Blockout White</t>
  </si>
  <si>
    <t>Texstyle Vivid Block Blockout White/Bone</t>
  </si>
  <si>
    <t>Texstyle Vivid Block Blockout White/Grey</t>
  </si>
  <si>
    <t>Texstyle Vivid Block Blockout White/Silver</t>
  </si>
  <si>
    <t>Texstyle Vivid Block Blockout White/Stone</t>
  </si>
  <si>
    <t>Hunter Douglas Westman Blockout TBA</t>
  </si>
  <si>
    <t>Hunter Douglas Westman Blockout Mist</t>
  </si>
  <si>
    <t>Hunter Douglas Westman Blockout Canvas</t>
  </si>
  <si>
    <t>Hunter Douglas Westman Blockout Aqua</t>
  </si>
  <si>
    <t>Hunter Douglas Westman Blockout Stone</t>
  </si>
  <si>
    <t>Hunter Douglas Westman Blockout Shark</t>
  </si>
  <si>
    <t>Hunter Douglas Willandra Blockout TBA</t>
  </si>
  <si>
    <t>Hunter Douglas Willandra Blockout Mist</t>
  </si>
  <si>
    <t>Hunter Douglas Willandra Blockout Spirit</t>
  </si>
  <si>
    <t>Hunter Douglas Willandra Blockout Smoke</t>
  </si>
  <si>
    <t>Hunter Douglas Willandra Blockout Charcoal</t>
  </si>
  <si>
    <t>Hunter Douglas Willandra Blockout Whisper</t>
  </si>
  <si>
    <t>Hunter Douglas Willandra Blockout Ivory</t>
  </si>
  <si>
    <t>Hunter Douglas Willandra Blockout Jarrah</t>
  </si>
  <si>
    <t>Hunter Douglas Willandra Blockout Saudi Sand</t>
  </si>
  <si>
    <t>Hunter Douglas Willandra Blockout Bison</t>
  </si>
  <si>
    <t>Hunter Douglas Willandra Blockout Storm</t>
  </si>
  <si>
    <t>Louvolite Willow Blockout Morning Mist</t>
  </si>
  <si>
    <t>Louvolite Willow Blockout TBA</t>
  </si>
  <si>
    <t>Louvolite Windsor Blockout Cobblestone</t>
  </si>
  <si>
    <t>Louvolite Windsor Blockout Forest Pine</t>
  </si>
  <si>
    <t>Louvolite Windsor Blockout Heather Fields</t>
  </si>
  <si>
    <t>Louvolite Windsor Blockout Rich Cream</t>
  </si>
  <si>
    <t>Louvolite Windsor Blockout Soothing Grey</t>
  </si>
  <si>
    <t>Louvolite Windsor Blockout TBA</t>
  </si>
  <si>
    <t>Louvolite Zen Blockout TBA</t>
  </si>
  <si>
    <t>Shaw Fabrics Yaringa Blockout Alpine</t>
  </si>
  <si>
    <t>Shaw Fabrics Yaringa Blockout Arctic</t>
  </si>
  <si>
    <t>Shaw Fabrics Yaringa Blockout Blush</t>
  </si>
  <si>
    <t>Shaw Fabrics Yaringa Blockout Bondi</t>
  </si>
  <si>
    <t>Shaw Fabrics Yaringa Blockout Charm</t>
  </si>
  <si>
    <t>Shaw Fabrics Yaringa Blockout Cirrus</t>
  </si>
  <si>
    <t>Shaw Fabrics Yaringa Blockout Hippo</t>
  </si>
  <si>
    <t>Shaw Fabrics Yaringa Blockout Mineral</t>
  </si>
  <si>
    <t>Shaw Fabrics Yaringa Blockout Nightfall</t>
  </si>
  <si>
    <t>Shaw Fabrics Yaringa Blockout Seashell</t>
  </si>
  <si>
    <t>Shaw Fabrics Yaringa Blockout Silver</t>
  </si>
  <si>
    <t>Shaw Fabrics Yaringa Blockout Soft Jade</t>
  </si>
  <si>
    <t>Shaw Fabrics Yaringa Blockout TBA</t>
  </si>
  <si>
    <t>Four Families Antigua Blockout Birch</t>
  </si>
  <si>
    <t>Four Families Antigua Blockout Carbon</t>
  </si>
  <si>
    <t>Four Families Antigua Blockout Feather</t>
  </si>
  <si>
    <t>Four Families Antigua Blockout Linen</t>
  </si>
  <si>
    <t>Four Families Antigua Blockout Natural</t>
  </si>
  <si>
    <t>Four Families Antigua Blockout Parchment</t>
  </si>
  <si>
    <t>Four Families Antigua Blockout Shell</t>
  </si>
  <si>
    <t>Four Families Antigua Blockout Snow</t>
  </si>
  <si>
    <t>Four Families Antigua Blockout TBA</t>
  </si>
  <si>
    <t>Basford Brands Recraft Blockout Chalk</t>
  </si>
  <si>
    <t>Basford Brands Recraft Blockout Birch</t>
  </si>
  <si>
    <t>Basford Brands Recraft Blockout Linen</t>
  </si>
  <si>
    <t>Basford Brands Recraft Blockout Angora</t>
  </si>
  <si>
    <t>Basford Brands Recraft Blockout Oyster</t>
  </si>
  <si>
    <t>Basford Brands Recraft Blockout Marble</t>
  </si>
  <si>
    <t>Basford Brands Recraft Blockout Lemongrass</t>
  </si>
  <si>
    <t>Basford Brands Recraft Blockout Charcoal</t>
  </si>
  <si>
    <t>Basford Brands Recraft Blockout TBA</t>
  </si>
  <si>
    <t>Louvolite Arlo Light Filtering TBA</t>
  </si>
  <si>
    <t>Wilson Fabrics Aruba Sheer Ash</t>
  </si>
  <si>
    <t>Wilson Fabrics Aruba Sheer Black</t>
  </si>
  <si>
    <t>Wilson Fabrics Aruba Sheer Chinchilla</t>
  </si>
  <si>
    <t>Wilson Fabrics Aruba Sheer Cinder</t>
  </si>
  <si>
    <t>Wilson Fabrics Aruba Sheer Cream</t>
  </si>
  <si>
    <t>Wilson Fabrics Aruba Sheer Ironbark</t>
  </si>
  <si>
    <t>Wilson Fabrics Aruba Sheer Silver</t>
  </si>
  <si>
    <t>Wilson Fabrics Aruba Sheer Snow</t>
  </si>
  <si>
    <t>Wilson Fabrics Aruba Sheer Snowgum</t>
  </si>
  <si>
    <t>Wilson Fabrics Aruba Sheer Steel</t>
  </si>
  <si>
    <t>Wilson Fabrics Aruba Sheer Stone</t>
  </si>
  <si>
    <t>Wilson Fabrics Aruba Sheer TBA</t>
  </si>
  <si>
    <t>Wilson Fabrics Aruba Sheer White</t>
  </si>
  <si>
    <t>Louvolite Aztec Light Filtering TBA</t>
  </si>
  <si>
    <t>Texstyle Balmoral Light Filtering Armour</t>
  </si>
  <si>
    <t>Texstyle Balmoral Light Filtering Birch</t>
  </si>
  <si>
    <t>Texstyle Balmoral Light Filtering Bourneville</t>
  </si>
  <si>
    <t>Texstyle Balmoral Light Filtering Chrome</t>
  </si>
  <si>
    <t>Texstyle Balmoral Light Filtering Concrete</t>
  </si>
  <si>
    <t>Texstyle Balmoral Light Filtering Dove</t>
  </si>
  <si>
    <t>Texstyle Balmoral Light Filtering Jet</t>
  </si>
  <si>
    <t>Texstyle Balmoral Light Filtering Pearl</t>
  </si>
  <si>
    <t>Texstyle Balmoral Light Filtering Platinum</t>
  </si>
  <si>
    <t>Texstyle Balmoral Light Filtering Putty</t>
  </si>
  <si>
    <t>Texstyle Balmoral Light Filtering Pyrite</t>
  </si>
  <si>
    <t>Texstyle Balmoral Light Filtering Steel</t>
  </si>
  <si>
    <t>Texstyle Balmoral Light Filtering TBA</t>
  </si>
  <si>
    <t>Texstyle Balmoral Light Filtering White</t>
  </si>
  <si>
    <t>Hunter Douglas Baltic Plus Translucent TBA</t>
  </si>
  <si>
    <t>Hunter Douglas Baltic Plus Translucent Froth</t>
  </si>
  <si>
    <t>Hunter Douglas Baltic Plus Translucent Shake</t>
  </si>
  <si>
    <t>Hunter Douglas Baltic Plus Translucent Chalk</t>
  </si>
  <si>
    <t>Hunter Douglas Baltic Plus Translucent Losta</t>
  </si>
  <si>
    <t>Hunter Douglas Baltic Plus Translucent Linen</t>
  </si>
  <si>
    <t>Hunter Douglas Baltic Plus Translucent Pumice</t>
  </si>
  <si>
    <t>Hunter Douglas Baltic Plus Translucent Nordic</t>
  </si>
  <si>
    <t>Hunter Douglas Baltic Plus Translucent Cosmos</t>
  </si>
  <si>
    <t>Hunter Douglas Baltic Plus Translucent Nightsky</t>
  </si>
  <si>
    <t>Hunter Douglas Baltic Plus Translucent Oxford</t>
  </si>
  <si>
    <t>Uniline Belice Light Filtering Pumice</t>
  </si>
  <si>
    <t>Uniline Belice Light Filtering TBA</t>
  </si>
  <si>
    <t>Wilson Fabrics Boston II Light Filtering Charcoal</t>
  </si>
  <si>
    <t>Wilson Fabrics Boston II Light Filtering Chinchilla</t>
  </si>
  <si>
    <t>Wilson Fabrics Boston II Light Filtering Dawn</t>
  </si>
  <si>
    <t>Wilson Fabrics Boston II Light Filtering Grey</t>
  </si>
  <si>
    <t>Wilson Fabrics Boston II Light Filtering Linen</t>
  </si>
  <si>
    <t>Wilson Fabrics Boston II Light Filtering Marshmellow</t>
  </si>
  <si>
    <t>Wilson Fabrics Boston II Light Filtering Mist</t>
  </si>
  <si>
    <t>Wilson Fabrics Boston II Light Filtering Monument</t>
  </si>
  <si>
    <t>Wilson Fabrics Boston II Light Filtering Quartz</t>
  </si>
  <si>
    <t>Wilson Fabrics Boston II Light Filtering Shark</t>
  </si>
  <si>
    <t>Wilson Fabrics Boston II Light Filtering Silver</t>
  </si>
  <si>
    <t>Wilson Fabrics Boston II Light Filtering Stone</t>
  </si>
  <si>
    <t>Wilson Fabrics Boston II Light Filtering TBA</t>
  </si>
  <si>
    <t>Wilson Fabrics Broome II Light Filtering Bluewash</t>
  </si>
  <si>
    <t>Wilson Fabrics Broome II Light Filtering Fossil</t>
  </si>
  <si>
    <t>Wilson Fabrics Broome II Light Filtering Ivory</t>
  </si>
  <si>
    <t>Wilson Fabrics Broome II Light Filtering Mink</t>
  </si>
  <si>
    <t>Wilson Fabrics Broome II Light Filtering Monument</t>
  </si>
  <si>
    <t>Wilson Fabrics Broome II Light Filtering Nomad</t>
  </si>
  <si>
    <t>Wilson Fabrics Broome II Light Filtering Off White</t>
  </si>
  <si>
    <t>Wilson Fabrics Broome II Light Filtering Parchment</t>
  </si>
  <si>
    <t>Wilson Fabrics Broome II Light Filtering Platinum</t>
  </si>
  <si>
    <t>Wilson Fabrics Broome II Light Filtering Snow</t>
  </si>
  <si>
    <t>Wilson Fabrics Broome II Light Filtering Stone</t>
  </si>
  <si>
    <t>Wilson Fabrics Broome II Light Filtering TBA</t>
  </si>
  <si>
    <t>Turnils Collage Bryson Light Filtering Coconut</t>
  </si>
  <si>
    <t>Turnils Collage Bryson Light Filtering Natural Linen</t>
  </si>
  <si>
    <t>Turnils Collage Bryson Light Filtering Savannah</t>
  </si>
  <si>
    <t>Turnils Collage Bryson Light Filtering Pacific</t>
  </si>
  <si>
    <t>Turnils Collage Bryson Light Filtering Marrakesh</t>
  </si>
  <si>
    <t>Turnils Collage Bryson Light Filtering Granite</t>
  </si>
  <si>
    <t>Turnils Collage Bryson Light Filtering TBA</t>
  </si>
  <si>
    <t>Louvolite Carnival Light Filtering Birch</t>
  </si>
  <si>
    <t>Louvolite Carnival Light Filtering Blossom</t>
  </si>
  <si>
    <t>Louvolite Carnival Light Filtering Bonbon</t>
  </si>
  <si>
    <t>Louvolite Carnival Light Filtering Buttercup</t>
  </si>
  <si>
    <t>Louvolite Carnival Light Filtering Caramel</t>
  </si>
  <si>
    <t>Louvolite Carnival Light Filtering Chartreuse</t>
  </si>
  <si>
    <t>Louvolite Carnival Light Filtering Chelsea Red</t>
  </si>
  <si>
    <t>Louvolite Carnival Light Filtering China White</t>
  </si>
  <si>
    <t>Louvolite Carnival Light Filtering Claret</t>
  </si>
  <si>
    <t>Louvolite Carnival Light Filtering Clay</t>
  </si>
  <si>
    <t>Louvolite Carnival Light Filtering Coral</t>
  </si>
  <si>
    <t>Louvolite Carnival Light Filtering Cornflour</t>
  </si>
  <si>
    <t>Louvolite Carnival Light Filtering Cream</t>
  </si>
  <si>
    <t>Louvolite Carnival Light Filtering Denim</t>
  </si>
  <si>
    <t>Louvolite Carnival Light Filtering Ecru</t>
  </si>
  <si>
    <t>Louvolite Carnival Light Filtering Fuschia</t>
  </si>
  <si>
    <t>Louvolite Carnival Light Filtering Grape</t>
  </si>
  <si>
    <t>Louvolite Carnival Light Filtering Heather</t>
  </si>
  <si>
    <t>Louvolite Carnival Light Filtering Hessian</t>
  </si>
  <si>
    <t>Louvolite Carnival Light Filtering Ivory</t>
  </si>
  <si>
    <t>Louvolite Carnival Light Filtering Ivy</t>
  </si>
  <si>
    <t>Louvolite Carnival Light Filtering Kiwi</t>
  </si>
  <si>
    <t>Louvolite Carnival Light Filtering Lily</t>
  </si>
  <si>
    <t>Louvolite Carnival Light Filtering Lime</t>
  </si>
  <si>
    <t>Louvolite Carnival Light Filtering Luna</t>
  </si>
  <si>
    <t>Louvolite Carnival Light Filtering Maraschino</t>
  </si>
  <si>
    <t>Louvolite Carnival Light Filtering Mink</t>
  </si>
  <si>
    <t>Louvolite Carnival Light Filtering Misty Blue</t>
  </si>
  <si>
    <t>Louvolite Carnival Light Filtering Mulberry</t>
  </si>
  <si>
    <t>Louvolite Carnival Light Filtering Navy</t>
  </si>
  <si>
    <t>Louvolite Carnival Light Filtering Ochre</t>
  </si>
  <si>
    <t>Louvolite Carnival Light Filtering Pacific</t>
  </si>
  <si>
    <t>Louvolite Carnival Light Filtering Paloma</t>
  </si>
  <si>
    <t>Louvolite Carnival Light Filtering Papaya</t>
  </si>
  <si>
    <t>Louvolite Carnival Light Filtering Peony</t>
  </si>
  <si>
    <t>Louvolite Carnival Light Filtering Pewter</t>
  </si>
  <si>
    <t>Louvolite Carnival Light Filtering Powder Blue</t>
  </si>
  <si>
    <t>Louvolite Carnival Light Filtering Praline</t>
  </si>
  <si>
    <t>Louvolite Carnival Light Filtering Purple</t>
  </si>
  <si>
    <t>Louvolite Carnival Light Filtering Raven</t>
  </si>
  <si>
    <t>Louvolite Carnival Light Filtering Royal</t>
  </si>
  <si>
    <t>Louvolite Carnival Light Filtering Scuba</t>
  </si>
  <si>
    <t>Louvolite Carnival Light Filtering Sky</t>
  </si>
  <si>
    <t>Louvolite Carnival Light Filtering Spring Green</t>
  </si>
  <si>
    <t>Louvolite Carnival Light Filtering Sunset</t>
  </si>
  <si>
    <t>Louvolite Carnival Light Filtering Taupe</t>
  </si>
  <si>
    <t>Louvolite Carnival Light Filtering TBA</t>
  </si>
  <si>
    <t>Louvolite Carnival Light Filtering Truffle</t>
  </si>
  <si>
    <t>Louvolite Carnival Light Filtering Willow</t>
  </si>
  <si>
    <t>Shaw Fabrics Chatsworth Light Filtering Cavlar</t>
  </si>
  <si>
    <t>Shaw Fabrics Chatsworth Light Filtering Doe</t>
  </si>
  <si>
    <t>Shaw Fabrics Chatsworth Light Filtering Espresso</t>
  </si>
  <si>
    <t>Shaw Fabrics Chatsworth Light Filtering Glow</t>
  </si>
  <si>
    <t>Shaw Fabrics Chatsworth Light Filtering Halo</t>
  </si>
  <si>
    <t>Shaw Fabrics Chatsworth Light Filtering Icicle</t>
  </si>
  <si>
    <t>Shaw Fabrics Chatsworth Light Filtering Mirage</t>
  </si>
  <si>
    <t>Shaw Fabrics Chatsworth Light Filtering Nutmeg</t>
  </si>
  <si>
    <t>Shaw Fabrics Chatsworth Light Filtering Oasis</t>
  </si>
  <si>
    <t>Shaw Fabrics Chatsworth Light Filtering Oyster</t>
  </si>
  <si>
    <t>Shaw Fabrics Chatsworth Light Filtering Pearl</t>
  </si>
  <si>
    <t>Shaw Fabrics Chatsworth Light Filtering TBA</t>
  </si>
  <si>
    <t>Shaw Fabrics Chatsworth Light Filtering Walnut</t>
  </si>
  <si>
    <t>Hunter Douglas Chester Translucent TBA</t>
  </si>
  <si>
    <t>Hunter Douglas Chester Translucent Adobe</t>
  </si>
  <si>
    <t>Hunter Douglas Chester Translucent Scandi</t>
  </si>
  <si>
    <t>Hunter Douglas Chester Translucent Cedar</t>
  </si>
  <si>
    <t>Hunter Douglas Chester Translucent Felt</t>
  </si>
  <si>
    <t>Hunter Douglas Chester Translucent Metro</t>
  </si>
  <si>
    <t>Hunter Douglas Chester Translucent Crude</t>
  </si>
  <si>
    <t>Louvolite Cheviot Light Filtering TBA</t>
  </si>
  <si>
    <t>Louvolite Como Light Filtering TBA</t>
  </si>
  <si>
    <t>Wilson Fabrics Concord II Light Filtering Antique</t>
  </si>
  <si>
    <t>Wilson Fabrics Concord II Light Filtering Ash</t>
  </si>
  <si>
    <t>Wilson Fabrics Concord II Light Filtering Concrete</t>
  </si>
  <si>
    <t>Wilson Fabrics Concord II Light Filtering Ecru</t>
  </si>
  <si>
    <t>Wilson Fabrics Concord II Light Filtering Egret</t>
  </si>
  <si>
    <t>Wilson Fabrics Concord II Light Filtering Fog</t>
  </si>
  <si>
    <t>Wilson Fabrics Concord II Light Filtering Ironbark</t>
  </si>
  <si>
    <t>Wilson Fabrics Concord II Light Filtering Pebble</t>
  </si>
  <si>
    <t>Wilson Fabrics Concord II Light Filtering Silver</t>
  </si>
  <si>
    <t>Wilson Fabrics Concord II Light Filtering Slate</t>
  </si>
  <si>
    <t>Wilson Fabrics Concord II Light Filtering Stone</t>
  </si>
  <si>
    <t>Wilson Fabrics Concord II Light Filtering TBA</t>
  </si>
  <si>
    <t>Louvolite Crush Light Filtering TBA</t>
  </si>
  <si>
    <t>Shaw Fabrics Duo Light Filtering Bright White</t>
  </si>
  <si>
    <t>Shaw Fabrics Duo Light Filtering Mid Grey</t>
  </si>
  <si>
    <t>Shaw Fabrics Duo Light Filtering TBA</t>
  </si>
  <si>
    <t>Shaw Fabrics Duo Light Filtering Warm White</t>
  </si>
  <si>
    <t>Hunter Douglas Elements Translucent TBA</t>
  </si>
  <si>
    <t>Hunter Douglas Elements Translucent White</t>
  </si>
  <si>
    <t>Hunter Douglas Elements Translucent Pearl</t>
  </si>
  <si>
    <t>Hunter Douglas Elements Translucent Linen</t>
  </si>
  <si>
    <t>Hunter Douglas Elements Translucent Weathered Stone</t>
  </si>
  <si>
    <t>Hunter Douglas Elements Translucent Storm Wheat BV</t>
  </si>
  <si>
    <t>Hunter Douglas Elements Translucent Midnight Storm</t>
  </si>
  <si>
    <t>Hunter Douglas Elements Translucent Zurich</t>
  </si>
  <si>
    <t>Hunter Douglas Elements Translucent Pure White</t>
  </si>
  <si>
    <t>Texstyle Enviroshade Light Filtering Arctic (Metallised)</t>
  </si>
  <si>
    <t>Texstyle Enviroshade Light Filtering Arctic (Non Metallised)</t>
  </si>
  <si>
    <t>Texstyle Enviroshade Light Filtering Beige (Metallised)</t>
  </si>
  <si>
    <t>Texstyle Enviroshade Light Filtering Beige (Non Metallised)</t>
  </si>
  <si>
    <t>Texstyle Enviroshade Light Filtering Bronze/Pearl (Metallised)</t>
  </si>
  <si>
    <t>Texstyle Enviroshade Light Filtering Bronze/Pearl (Non Metallised)</t>
  </si>
  <si>
    <t>Texstyle Enviroshade Light Filtering Icon (Metallised)</t>
  </si>
  <si>
    <t>Texstyle Enviroshade Light Filtering Icon (Non Metallised)</t>
  </si>
  <si>
    <t>Texstyle Enviroshade Light Filtering Mercury (Metallised)</t>
  </si>
  <si>
    <t>Texstyle Enviroshade Light Filtering Mercury (Non Metallised)</t>
  </si>
  <si>
    <t>Texstyle Enviroshade Light Filtering Raven (Metallised)</t>
  </si>
  <si>
    <t>Texstyle Enviroshade Light Filtering Raven (Non Metallised)</t>
  </si>
  <si>
    <t>Texstyle Enviroshade Light Filtering Shimmer (Metallised)</t>
  </si>
  <si>
    <t>Texstyle Enviroshade Light Filtering Shimmer (Non Metallised)</t>
  </si>
  <si>
    <t>Texstyle Enviroshade Light Filtering Stone (Metallised)</t>
  </si>
  <si>
    <t>Texstyle Enviroshade Light Filtering Stone (Non Metallised)</t>
  </si>
  <si>
    <t>Texstyle Enviroshade Light Filtering TBA (Metallised)</t>
  </si>
  <si>
    <t>Texstyle Enviroshade Light Filtering TBA (Non Metallised)</t>
  </si>
  <si>
    <t>Texstyle Enviroshade Light Filtering Walnut (Metallised)</t>
  </si>
  <si>
    <t>Texstyle Enviroshade Light Filtering Walnut (Non Metallised)</t>
  </si>
  <si>
    <t>Four Families Euro St Lucia Light Filtering Bianca</t>
  </si>
  <si>
    <t>Four Families Euro St Lucia Light Filtering Charcoal</t>
  </si>
  <si>
    <t>Four Families Euro St Lucia Light Filtering Ice</t>
  </si>
  <si>
    <t>Four Families Euro St Lucia Light Filtering Silver</t>
  </si>
  <si>
    <t>Four Families Euro St Lucia Light Filtering Steel</t>
  </si>
  <si>
    <t>Four Families Euro St Lucia Light Filtering Stones</t>
  </si>
  <si>
    <t>Four Families Euro St Lucia Light Filtering TBA</t>
  </si>
  <si>
    <t>Four Families Euro St Lucia Light Filtering White</t>
  </si>
  <si>
    <t>Maurice Kain Euro St Lucia Light Filtering Bianca</t>
  </si>
  <si>
    <t>Maurice Kain Euro St Lucia Light Filtering Charcoal</t>
  </si>
  <si>
    <t>Maurice Kain Euro St Lucia Light Filtering Ice</t>
  </si>
  <si>
    <t>Maurice Kain Euro St Lucia Light Filtering Silver</t>
  </si>
  <si>
    <t>Maurice Kain Euro St Lucia Light Filtering Steel</t>
  </si>
  <si>
    <t>Maurice Kain Euro St Lucia Light Filtering Stone</t>
  </si>
  <si>
    <t>Maurice Kain Euro St Lucia Light Filtering TBA</t>
  </si>
  <si>
    <t>Maurice Kain Euro St Lucia Light Filtering White</t>
  </si>
  <si>
    <t>Louvolite Flores Light Filtering TBA</t>
  </si>
  <si>
    <t>Louvolite Grove Light Filtering TBA</t>
  </si>
  <si>
    <t>Louvolite Hampton Light Filtering TBA</t>
  </si>
  <si>
    <t>Wilson Fabrics Husk II Light Filtering Granite</t>
  </si>
  <si>
    <t>Wilson Fabrics Husk II Light Filtering Grey</t>
  </si>
  <si>
    <t>Wilson Fabrics Husk II Light Filtering Ironbark</t>
  </si>
  <si>
    <t>Wilson Fabrics Husk II Light Filtering Latte</t>
  </si>
  <si>
    <t>Wilson Fabrics Husk II Light Filtering Linen</t>
  </si>
  <si>
    <t>Wilson Fabrics Husk II Light Filtering Parchment</t>
  </si>
  <si>
    <t>Wilson Fabrics Husk II Light Filtering Pearl</t>
  </si>
  <si>
    <t>Wilson Fabrics Husk II Light Filtering Platinum</t>
  </si>
  <si>
    <t>Wilson Fabrics Husk II Light Filtering Shark</t>
  </si>
  <si>
    <t>Wilson Fabrics Husk II Light Filtering Silver</t>
  </si>
  <si>
    <t>Wilson Fabrics Husk II Light Filtering Snow</t>
  </si>
  <si>
    <t>Wilson Fabrics Husk II Light Filtering Snowgum</t>
  </si>
  <si>
    <t>Louvolite Ikat Light Filtering TBA</t>
  </si>
  <si>
    <t>Louvolite Iona Light Filtering TBA</t>
  </si>
  <si>
    <t>Texstyle Jersey Light Filtering Opal</t>
  </si>
  <si>
    <t>Texstyle Jersey Light Filtering Organic</t>
  </si>
  <si>
    <t>Texstyle Jersey Light Filtering Pavement</t>
  </si>
  <si>
    <t>Texstyle Jersey Light Filtering Render</t>
  </si>
  <si>
    <t>Texstyle Jersey Light Filtering Steel</t>
  </si>
  <si>
    <t>Texstyle Jersey Light Filtering Stone</t>
  </si>
  <si>
    <t>Texstyle Jersey Light Filtering TBA</t>
  </si>
  <si>
    <t>Texstyle Jersey Light Filtering Timber</t>
  </si>
  <si>
    <t>Texstyle Jersey Light Filtering Lace</t>
  </si>
  <si>
    <t>Texstyle Jersey Light Filtering Mink</t>
  </si>
  <si>
    <t>Texstyle Jersey Light Filtering Ashen</t>
  </si>
  <si>
    <t>Texstyle Jersey Light Filtering Willow</t>
  </si>
  <si>
    <t>Texstyle Jersey Light Filtering Cinder</t>
  </si>
  <si>
    <t>Texstyle Jersey Light Filtering Sable</t>
  </si>
  <si>
    <t>Texstyle Jersey Light Filtering Basalt</t>
  </si>
  <si>
    <t>Texstyle Jersey Light Filtering Ember</t>
  </si>
  <si>
    <t>Hunter Douglas Kenross Translucent TBA</t>
  </si>
  <si>
    <t>Hunter Douglas Kenross Translucent Lace</t>
  </si>
  <si>
    <t>Hunter Douglas Kenross Translucent Light Cream</t>
  </si>
  <si>
    <t>Hunter Douglas Kenross Translucent Gazelle</t>
  </si>
  <si>
    <t>Hunter Douglas Kenross Translucent Fog</t>
  </si>
  <si>
    <t>Hunter Douglas Kenross Translucent Natural</t>
  </si>
  <si>
    <t>Hunter Douglas Kenross Translucent Haze</t>
  </si>
  <si>
    <t>Hunter Douglas Kenross Translucent Dove</t>
  </si>
  <si>
    <t>Hunter Douglas Kenross Translucent Slate</t>
  </si>
  <si>
    <t>Hunter Douglas Kenross Translucent Graphite</t>
  </si>
  <si>
    <t>Louvolite Kenzo Light Filtering TBA</t>
  </si>
  <si>
    <t>Shaw Fabrics Le Reve Light Filtering Chalk</t>
  </si>
  <si>
    <t>Shaw Fabrics Le Reve Light Filtering Concrete</t>
  </si>
  <si>
    <t>Shaw Fabrics Le Reve Light Filtering Crystal</t>
  </si>
  <si>
    <t>Shaw Fabrics Le Reve Light Filtering Graphite</t>
  </si>
  <si>
    <t>Shaw Fabrics Le Reve Light Filtering Marble</t>
  </si>
  <si>
    <t>Shaw Fabrics Le Reve Light Filtering Mink</t>
  </si>
  <si>
    <t>Shaw Fabrics Le Reve Light Filtering Onyx</t>
  </si>
  <si>
    <t>Shaw Fabrics Le Reve Light Filtering Pewter</t>
  </si>
  <si>
    <t>Shaw Fabrics Le Reve Light Filtering Sand</t>
  </si>
  <si>
    <t>Shaw Fabrics Le Reve Light Filtering Shell</t>
  </si>
  <si>
    <t>Shaw Fabrics Le Reve Light Filtering TBA</t>
  </si>
  <si>
    <t>Louvolite Lily Light Filtering TBA</t>
  </si>
  <si>
    <t>Louvolite Lily Light Filtering Mellow Sage</t>
  </si>
  <si>
    <t>Shaw Fabrics Linesque Light Filtering Chestnut</t>
  </si>
  <si>
    <t>Shaw Fabrics Linesque Light Filtering Delta</t>
  </si>
  <si>
    <t>Shaw Fabrics Linesque Light Filtering Granite</t>
  </si>
  <si>
    <t>Shaw Fabrics Linesque Light Filtering Hazelnut</t>
  </si>
  <si>
    <t>Shaw Fabrics Linesque Light Filtering Levi</t>
  </si>
  <si>
    <t>Shaw Fabrics Linesque Light Filtering Lily</t>
  </si>
  <si>
    <t>Shaw Fabrics Linesque Light Filtering Oatcake</t>
  </si>
  <si>
    <t>Shaw Fabrics Linesque Light Filtering Owl</t>
  </si>
  <si>
    <t>Shaw Fabrics Linesque Light Filtering Stonewash</t>
  </si>
  <si>
    <t>Shaw Fabrics Linesque Light Filtering TBA</t>
  </si>
  <si>
    <t>Shaw Fabrics Linesque Light Filtering Trellis</t>
  </si>
  <si>
    <t>Shaw Fabrics Linesque Light Filtering Wicker</t>
  </si>
  <si>
    <t>Shaw Fabrics Linesque Light Filtering Winter</t>
  </si>
  <si>
    <t>Shaw Fabrics Mantra Light Filtering Cotton</t>
  </si>
  <si>
    <t>Shaw Fabrics Mantra Light Filtering Parchment</t>
  </si>
  <si>
    <t>Shaw Fabrics Mantra Light Filtering Seagrass</t>
  </si>
  <si>
    <t>Shaw Fabrics Mantra Light Filtering Seed Pearl</t>
  </si>
  <si>
    <t>Shaw Fabrics Mantra Light Filtering Sesame</t>
  </si>
  <si>
    <t>Shaw Fabrics Mantra Light Filtering TBA</t>
  </si>
  <si>
    <t>Shaw Fabrics Mantra Light Filtering Pebble</t>
  </si>
  <si>
    <t>Wilson Fabrics Marley Light Filtering Charcoal</t>
  </si>
  <si>
    <t>Wilson Fabrics Marley Light Filtering Fossil</t>
  </si>
  <si>
    <t>Wilson Fabrics Marley Light Filtering Natural</t>
  </si>
  <si>
    <t>Wilson Fabrics Marley Light Filtering Ocean</t>
  </si>
  <si>
    <t>Wilson Fabrics Marley Light Filtering Pewter</t>
  </si>
  <si>
    <t>Wilson Fabrics Marley Light Filtering Steel</t>
  </si>
  <si>
    <t>Wilson Fabrics Marley Light Filtering Stone</t>
  </si>
  <si>
    <t>Wilson Fabrics Marley Light Filtering TBA</t>
  </si>
  <si>
    <t>Wilson Fabrics Marley Light Filtering White</t>
  </si>
  <si>
    <t>Wilson Fabrics Matrix Light Filtering Coffee</t>
  </si>
  <si>
    <t>Wilson Fabrics Matrix Light Filtering Ebony</t>
  </si>
  <si>
    <t>Wilson Fabrics Matrix Light Filtering Grey</t>
  </si>
  <si>
    <t>Wilson Fabrics Matrix Light Filtering Ivory</t>
  </si>
  <si>
    <t>Wilson Fabrics Matrix Light Filtering Mink</t>
  </si>
  <si>
    <t>Wilson Fabrics Matrix Light Filtering Pearl</t>
  </si>
  <si>
    <t>Wilson Fabrics Matrix Light Filtering Pewter</t>
  </si>
  <si>
    <t>Wilson Fabrics Matrix Light Filtering Pristine</t>
  </si>
  <si>
    <t>Wilson Fabrics Matrix Light Filtering Stone</t>
  </si>
  <si>
    <t>Wilson Fabrics Matrix Light Filtering TBA</t>
  </si>
  <si>
    <t>Wilson Fabrics Matrix Light Filtering White</t>
  </si>
  <si>
    <t>Wilson Fabrics Mercury II Light Filtering Ash</t>
  </si>
  <si>
    <t>Wilson Fabrics Mercury II Light Filtering Black</t>
  </si>
  <si>
    <t>Wilson Fabrics Mercury II Light Filtering Chinchilla</t>
  </si>
  <si>
    <t>Wilson Fabrics Mercury II Light Filtering Cinder</t>
  </si>
  <si>
    <t>Wilson Fabrics Mercury II Light Filtering Cream</t>
  </si>
  <si>
    <t>Wilson Fabrics Mercury II Light Filtering Ironbark</t>
  </si>
  <si>
    <t>Wilson Fabrics Mercury II Light Filtering Silver</t>
  </si>
  <si>
    <t>Wilson Fabrics Mercury II Light Filtering Snow</t>
  </si>
  <si>
    <t>Wilson Fabrics Mercury II Light Filtering Snowgum</t>
  </si>
  <si>
    <t>Wilson Fabrics Mercury II Light Filtering Steel</t>
  </si>
  <si>
    <t>Wilson Fabrics Mercury II Light Filtering Stone</t>
  </si>
  <si>
    <t>Wilson Fabrics Mercury II Light Filtering TBA</t>
  </si>
  <si>
    <t>Wilson Fabrics Mercury II Light Filtering White</t>
  </si>
  <si>
    <t>Texstyle Metroshade Light Filtering Dove/White</t>
  </si>
  <si>
    <t>Texstyle Metroshade Light Filtering Ecru</t>
  </si>
  <si>
    <t>Texstyle Metroshade Light Filtering Ice Grey</t>
  </si>
  <si>
    <t>Texstyle Metroshade Light Filtering Moonstone</t>
  </si>
  <si>
    <t>Texstyle Metroshade Light Filtering Nougat</t>
  </si>
  <si>
    <t>Texstyle Metroshade Light Filtering Quill</t>
  </si>
  <si>
    <t>Texstyle Metroshade Light Filtering TBA</t>
  </si>
  <si>
    <t>Wilson Fabrics Moma Light Filtering Black</t>
  </si>
  <si>
    <t>Wilson Fabrics Moma Light Filtering Iron</t>
  </si>
  <si>
    <t>Wilson Fabrics Moma Light Filtering Shitake</t>
  </si>
  <si>
    <t>Wilson Fabrics Moma Light Filtering Snow</t>
  </si>
  <si>
    <t>Wilson Fabrics Moma Light Filtering Stone</t>
  </si>
  <si>
    <t>Wilson Fabrics Moma Light Filtering TBA</t>
  </si>
  <si>
    <t>Wilson Fabrics Moma Light Filtering White</t>
  </si>
  <si>
    <t>Louvolite Monterey Light Filtering TBA</t>
  </si>
  <si>
    <t>Shaw Fabrics Orora FR Sheer Biscotti</t>
  </si>
  <si>
    <t>Shaw Fabrics Orora FR Sheer Chia</t>
  </si>
  <si>
    <t>Shaw Fabrics Orora FR Sheer Frost</t>
  </si>
  <si>
    <t>Shaw Fabrics Orora FR Sheer Merlin</t>
  </si>
  <si>
    <t>Shaw Fabrics Orora FR Sheer Osprey</t>
  </si>
  <si>
    <t>Shaw Fabrics Orora FR Sheer Pearl</t>
  </si>
  <si>
    <t>Shaw Fabrics Orora FR Sheer Steel</t>
  </si>
  <si>
    <t>Shaw Fabrics Orora FR Sheer Stone Wash</t>
  </si>
  <si>
    <t>Shaw Fabrics Orora FR Sheer TBA</t>
  </si>
  <si>
    <t>Shaw Fabrics Orora FR Sheer Wild Rice</t>
  </si>
  <si>
    <t>Louvolite Oslo Light Filtering TBA</t>
  </si>
  <si>
    <t>Louvolite Oxley Light Filtering TBA</t>
  </si>
  <si>
    <t>Shaw Fabrics Palm Beach Light Filtering Angora</t>
  </si>
  <si>
    <t>Shaw Fabrics Palm Beach Light Filtering Horizon</t>
  </si>
  <si>
    <t>Shaw Fabrics Palm Beach Light Filtering Ink</t>
  </si>
  <si>
    <t>Shaw Fabrics Palm Beach Light Filtering Melody</t>
  </si>
  <si>
    <t>Shaw Fabrics Palm Beach Light Filtering Monsoon</t>
  </si>
  <si>
    <t>Shaw Fabrics Palm Beach Light Filtering Pearl</t>
  </si>
  <si>
    <t>Shaw Fabrics Palm Beach Light Filtering Steel</t>
  </si>
  <si>
    <t>Shaw Fabrics Palm Beach Light Filtering TBA</t>
  </si>
  <si>
    <t>Texstyle Sanctuary Light Filtering Plaster</t>
  </si>
  <si>
    <t>Texstyle Sanctuary Light Filtering Marble</t>
  </si>
  <si>
    <t>Texstyle Sanctuary Light Filtering Limestone</t>
  </si>
  <si>
    <t>Texstyle Sanctuary Light Filtering Ceramic</t>
  </si>
  <si>
    <t>Texstyle Sanctuary Light Filtering Truffle</t>
  </si>
  <si>
    <t>Texstyle Sanctuary Light Filtering Fossil</t>
  </si>
  <si>
    <t>Texstyle Sanctuary Light Filtering Suede</t>
  </si>
  <si>
    <t>Texstyle Sanctuary Light Filtering Mineral</t>
  </si>
  <si>
    <t>Texstyle Sanctuary Light Filtering Slate</t>
  </si>
  <si>
    <t>Texstyle Sanctuary Light Filtering Baltic</t>
  </si>
  <si>
    <t>Texstyle Sanctuary Light Filtering Lava</t>
  </si>
  <si>
    <t>Lava</t>
  </si>
  <si>
    <t>Texstyle Sanctuary Light Filtering TBA</t>
  </si>
  <si>
    <t>Maurice Kain SB-Southport Light Filtering Arctic</t>
  </si>
  <si>
    <t>Maurice Kain SB-Southport Light Filtering Ash</t>
  </si>
  <si>
    <t>Maurice Kain SB-Southport Light Filtering Baltic Sea</t>
  </si>
  <si>
    <t>Maurice Kain SB-Southport Light Filtering Blackjack</t>
  </si>
  <si>
    <t>Maurice Kain SB-Southport Light Filtering Bounty</t>
  </si>
  <si>
    <t>Maurice Kain SB-Southport Light Filtering Cream</t>
  </si>
  <si>
    <t>Maurice Kain SB-Southport Light Filtering Cumulus</t>
  </si>
  <si>
    <t>Maurice Kain SB-Southport Light Filtering Dusk</t>
  </si>
  <si>
    <t>Maurice Kain SB-Southport Light Filtering Fog</t>
  </si>
  <si>
    <t>Maurice Kain SB-Southport Light Filtering Iron</t>
  </si>
  <si>
    <t>Maurice Kain SB-Southport Light Filtering Linen</t>
  </si>
  <si>
    <t>Maurice Kain SB-Southport Light Filtering Merino</t>
  </si>
  <si>
    <t>Maurice Kain SB-Southport Light Filtering Porcelain</t>
  </si>
  <si>
    <t>Maurice Kain SB-Southport Light Filtering Putty</t>
  </si>
  <si>
    <t>Maurice Kain SB-Southport Light Filtering Seal</t>
  </si>
  <si>
    <t>Maurice Kain SB-Southport Light Filtering Spray</t>
  </si>
  <si>
    <t>Maurice Kain SB-Southport Light Filtering Stone</t>
  </si>
  <si>
    <t>Maurice Kain SB-Southport Light Filtering Storm</t>
  </si>
  <si>
    <t>Maurice Kain SB-Southport Light Filtering TBA</t>
  </si>
  <si>
    <t>Maurice Kain SB-Southport Light Filtering Tea</t>
  </si>
  <si>
    <t>Hunter Douglas Scarborough Translucent TBA</t>
  </si>
  <si>
    <t>Hunter Douglas Scarborough Translucent Sugar</t>
  </si>
  <si>
    <t>Hunter Douglas Scarborough Translucent Sorbet</t>
  </si>
  <si>
    <t>Hunter Douglas Scarborough Translucent Biscuit</t>
  </si>
  <si>
    <t>Hunter Douglas Scarborough Translucent Oyster</t>
  </si>
  <si>
    <t>Hunter Douglas Scarborough Translucent Pepper</t>
  </si>
  <si>
    <t>Hunter Douglas Scarborough Translucent Trecale</t>
  </si>
  <si>
    <t>Hunter Douglas Scarborough Translucent Cocoa</t>
  </si>
  <si>
    <t>Hunter Douglas Scarborough Translucent Liquorice</t>
  </si>
  <si>
    <t>Texstyle Serengetti Light Filtering Albatross</t>
  </si>
  <si>
    <t>Texstyle Serengetti Light Filtering Antelope</t>
  </si>
  <si>
    <t>Texstyle Serengetti Light Filtering Caribou</t>
  </si>
  <si>
    <t>Texstyle Serengetti Light Filtering Chamois</t>
  </si>
  <si>
    <t>Texstyle Serengetti Light Filtering Eland</t>
  </si>
  <si>
    <t>Texstyle Serengetti Light Filtering Hyrax</t>
  </si>
  <si>
    <t>Texstyle Serengetti Light Filtering Jackal</t>
  </si>
  <si>
    <t>Texstyle Serengetti Light Filtering Llama</t>
  </si>
  <si>
    <t>Texstyle Serengetti Light Filtering Mamba</t>
  </si>
  <si>
    <t>Texstyle Serengetti Light Filtering Onyx</t>
  </si>
  <si>
    <t>Texstyle Serengetti Light Filtering Owl</t>
  </si>
  <si>
    <t>Texstyle Serengetti Light Filtering Panther</t>
  </si>
  <si>
    <t>Texstyle Serengetti Light Filtering Polar</t>
  </si>
  <si>
    <t>Texstyle Serengetti Light Filtering TBA</t>
  </si>
  <si>
    <t>Shaw Fabrics Skye Light Filtering Blazer</t>
  </si>
  <si>
    <t>Shaw Fabrics Skye Light Filtering Chiffon</t>
  </si>
  <si>
    <t>Shaw Fabrics Skye Light Filtering Chrome</t>
  </si>
  <si>
    <t>Shaw Fabrics Skye Light Filtering Earl Grey</t>
  </si>
  <si>
    <t>Shaw Fabrics Skye Light Filtering Oyster</t>
  </si>
  <si>
    <t>Shaw Fabrics Skye Light Filtering Porcelain</t>
  </si>
  <si>
    <t>Shaw Fabrics Skye Light Filtering Raven</t>
  </si>
  <si>
    <t>Shaw Fabrics Skye Light Filtering Sail</t>
  </si>
  <si>
    <t>Shaw Fabrics Skye Light Filtering Swan</t>
  </si>
  <si>
    <t>Shaw Fabrics Spectre Sheer Cotswold</t>
  </si>
  <si>
    <t>Shaw Fabrics Spectre Sheer Cumin</t>
  </si>
  <si>
    <t>Shaw Fabrics Spectre Sheer Driftwood</t>
  </si>
  <si>
    <t>Shaw Fabrics Spectre Sheer Ebony</t>
  </si>
  <si>
    <t>Shaw Fabrics Spectre Sheer Flaxen</t>
  </si>
  <si>
    <t>Shaw Fabrics Spectre Sheer Iron</t>
  </si>
  <si>
    <t>Shaw Fabrics Spectre Sheer Ombre</t>
  </si>
  <si>
    <t>Shaw Fabrics Spectre Sheer Pepper</t>
  </si>
  <si>
    <t>Shaw Fabrics Spectre Sheer Quarry</t>
  </si>
  <si>
    <t>Shaw Fabrics Spectre Sheer Seaspray</t>
  </si>
  <si>
    <t>Shaw Fabrics Spectre Sheer TBA</t>
  </si>
  <si>
    <t>Shaw Fabrics Spectre Sheer WoodSmoke</t>
  </si>
  <si>
    <t>Four Families St Lucia Light Filtering Ivory</t>
  </si>
  <si>
    <t>Four Families St Lucia Light Filtering White</t>
  </si>
  <si>
    <t>Four Families St Lucia Light Filtering TBA</t>
  </si>
  <si>
    <t>Louvolite Swedish Birch Light Filtering TBA</t>
  </si>
  <si>
    <t>Louvolite Sweet Pea Light Filtering TBA</t>
  </si>
  <si>
    <t>Louvolite Sweet Pea Light Filtering Dew</t>
  </si>
  <si>
    <t>Wilson Fabrics Sydney Light Filtering Charcoal</t>
  </si>
  <si>
    <t>Wilson Fabrics Sydney Light Filtering Dark Grey</t>
  </si>
  <si>
    <t>Wilson Fabrics Sydney Light Filtering Linen</t>
  </si>
  <si>
    <t>Wilson Fabrics Sydney Light Filtering Mist</t>
  </si>
  <si>
    <t>Wilson Fabrics Sydney Light Filtering Natural</t>
  </si>
  <si>
    <t>Wilson Fabrics Sydney Light Filtering Silver</t>
  </si>
  <si>
    <t>Wilson Fabrics Sydney Light Filtering Snow</t>
  </si>
  <si>
    <t>Wilson Fabrics Sydney Light Filtering TBA</t>
  </si>
  <si>
    <t>Sonata Symphony Light Filtering White</t>
  </si>
  <si>
    <t>F13</t>
  </si>
  <si>
    <t>Uniline Tapestry Light Filtering TBA</t>
  </si>
  <si>
    <t>Uniline Tapestry Light Filtering Cloud</t>
  </si>
  <si>
    <t>Uniline Tapestry Light Filtering White Wash</t>
  </si>
  <si>
    <t>Uniline Tapestry Light Filtering Seagull</t>
  </si>
  <si>
    <t>Uniline Tapestry Light Filtering Buff</t>
  </si>
  <si>
    <t>Uniline Tapestry Light Filtering Concrete</t>
  </si>
  <si>
    <t>Uniline Tapestry Light Filtering Portland</t>
  </si>
  <si>
    <t>Uniline Tapestry Light Filtering Dove</t>
  </si>
  <si>
    <t>Uniline Tapestry Light Filtering Gunmetal</t>
  </si>
  <si>
    <t>Uniline Tapestry Light Filtering Tuxedo</t>
  </si>
  <si>
    <t>Wilson Fabrics Thredbo Translucent Snow</t>
  </si>
  <si>
    <t>Whtie</t>
  </si>
  <si>
    <t>Wilson Fabrics Thredbo Translucent White</t>
  </si>
  <si>
    <t>Wilson Fabrics Thredbo Translucent Ivory</t>
  </si>
  <si>
    <t>Wilson Fabrics Thredbo Translucent Pearl</t>
  </si>
  <si>
    <t>Wilson Fabrics Thredbo Translucent Snowgum</t>
  </si>
  <si>
    <t>Wilson Fabrics Thredbo Translucent Vanilla</t>
  </si>
  <si>
    <t>Wilson Fabrics Thredbo Translucent Cloud</t>
  </si>
  <si>
    <t>Wilson Fabrics Thredbo Translucent Ice Grey</t>
  </si>
  <si>
    <t>Wilson Fabrics Thredbo Translucent Mink</t>
  </si>
  <si>
    <t>Wilson Fabrics Thredbo Translucent Chrome</t>
  </si>
  <si>
    <t>Wilson Fabrics Thredbo Translucent Shark</t>
  </si>
  <si>
    <t>Wilson Fabrics Thredbo Translucent Jet</t>
  </si>
  <si>
    <t>Wilson Fabrics Thredbo Translucent Charcoal</t>
  </si>
  <si>
    <t>Wilson Fabrics Thredbo Translucent Ebony</t>
  </si>
  <si>
    <t>Wilson Fabrics Thredbo Translucent TBA</t>
  </si>
  <si>
    <t>Wilson Fabrics Tuscany II Light Filtering Ash</t>
  </si>
  <si>
    <t>Wilson Fabrics Tuscany II Light Filtering Charcoal</t>
  </si>
  <si>
    <t>Wilson Fabrics Tuscany II Light Filtering Eggshell</t>
  </si>
  <si>
    <t>Wilson Fabrics Tuscany II Light Filtering Granite</t>
  </si>
  <si>
    <t>Wilson Fabrics Tuscany II Light Filtering Linen</t>
  </si>
  <si>
    <t>Wilson Fabrics Tuscany II Light Filtering Mink</t>
  </si>
  <si>
    <t>Wilson Fabrics Tuscany II Light Filtering Natural</t>
  </si>
  <si>
    <t>Wilson Fabrics Tuscany II Light Filtering Parchment</t>
  </si>
  <si>
    <t>Wilson Fabrics Tuscany II Light Filtering Pewter</t>
  </si>
  <si>
    <t>Wilson Fabrics Tuscany II Light Filtering Silver</t>
  </si>
  <si>
    <t>Wilson Fabrics Tuscany II Light Filtering White</t>
  </si>
  <si>
    <t>Hunter Douglas Westman Translucent TBA</t>
  </si>
  <si>
    <t>Hunter Douglas Westman Translucent Mist</t>
  </si>
  <si>
    <t>Hunter Douglas Westman Translucent Canvas</t>
  </si>
  <si>
    <t>Hunter Douglas Westman Translucent Aqua</t>
  </si>
  <si>
    <t>Hunter Douglas Westman Translucent Stone</t>
  </si>
  <si>
    <t>Hunter Douglas Westman Translucent Shark</t>
  </si>
  <si>
    <t>Wilson Fabrics Whitsundays Light Filtering Arctic White</t>
  </si>
  <si>
    <t>Wilson Fabrics Whitsundays Light Filtering Whitewash</t>
  </si>
  <si>
    <t>Wilson Fabrics Whitsundays Light Filtering Blonde</t>
  </si>
  <si>
    <t>Wilson Fabrics Whitsundays Light Filtering Morning</t>
  </si>
  <si>
    <t>Wilson Fabrics Whitsundays Light Filtering Marble</t>
  </si>
  <si>
    <t>Wilson Fabrics Whitsundays Light Filtering Flaxen</t>
  </si>
  <si>
    <t>Wilson Fabrics Whitsundays Light Filtering Clay</t>
  </si>
  <si>
    <t>Wilson Fabrics Whitsundays Light Filtering Hampton Blue</t>
  </si>
  <si>
    <t>Wilson Fabrics Whitsundays Light Filtering Silver Gum</t>
  </si>
  <si>
    <t>Wilson Fabrics Whitsundays Light Filtering Gravel</t>
  </si>
  <si>
    <t>Wilson Fabrics Whitsundays Light Filtering TBA</t>
  </si>
  <si>
    <t>Hunter Douglas Willandra Light Filtering TBA</t>
  </si>
  <si>
    <t>Hunter Douglas Willandra Light Filtering Mist</t>
  </si>
  <si>
    <t>Hunter Douglas Willandra Light Filtering Spirit</t>
  </si>
  <si>
    <t>Hunter Douglas Willandra Light Filtering Smoke</t>
  </si>
  <si>
    <t>Hunter Douglas Willandra Light Filtering Charcoal</t>
  </si>
  <si>
    <t>Hunter Douglas Willandra Light Filtering Whisper</t>
  </si>
  <si>
    <t>Hunter Douglas Willandra Light Filtering Ivory</t>
  </si>
  <si>
    <t>Hunter Douglas Willandra Light Filtering Jarrah</t>
  </si>
  <si>
    <t>Hunter Douglas Willandra Light Filtering Saudi Sand</t>
  </si>
  <si>
    <t>Hunter Douglas Willandra Light Filtering Bison</t>
  </si>
  <si>
    <t>Hunter Douglas Willandra Light Filtering Storm</t>
  </si>
  <si>
    <t>Louvolite Windsor Light Filtering TBA</t>
  </si>
  <si>
    <t>Maurice Kain Woolamai Light Filtering Basalt</t>
  </si>
  <si>
    <t>Maurice Kain Woolamai Light Filtering Cloud</t>
  </si>
  <si>
    <t>Maurice Kain Woolamai Light Filtering Driftwood</t>
  </si>
  <si>
    <t>Maurice Kain Woolamai Light Filtering Onyx</t>
  </si>
  <si>
    <t>Maurice Kain Woolamai Light Filtering Sand</t>
  </si>
  <si>
    <t>Maurice Kain Woolamai Light Filtering Silver</t>
  </si>
  <si>
    <t>Maurice Kain Woolamai Light Filtering Stone</t>
  </si>
  <si>
    <t>Maurice Kain Woolamai Light Filtering Storm</t>
  </si>
  <si>
    <t>Maurice Kain Woolamai Light Filtering TBA</t>
  </si>
  <si>
    <t>Blindware Signum Metallic Sunscreen Anthracite</t>
  </si>
  <si>
    <t>Blindware Signum Metallic Sunscreen Basalt</t>
  </si>
  <si>
    <t>Blindware Signum Metallic Sunscreen Charcoal</t>
  </si>
  <si>
    <t>Blindware Signum Metallic Sunscreen Coffee</t>
  </si>
  <si>
    <t>Blindware Signum Metallic Sunscreen Graphite</t>
  </si>
  <si>
    <t>Blindware Signum Metallic Sunscreen Grass Silk</t>
  </si>
  <si>
    <t>Blindware Signum Metallic Sunscreen Mist</t>
  </si>
  <si>
    <t>Blindware Signum Metallic Sunscreen Oak</t>
  </si>
  <si>
    <t>Blindware Signum Metallic Sunscreen Silver</t>
  </si>
  <si>
    <t>Blindware Signum Metallic Sunscreen Steel</t>
  </si>
  <si>
    <t>Blindware Signum Metallic Sunscreen Storm</t>
  </si>
  <si>
    <t>Blindware Signum Metallic Sunscreen TBA</t>
  </si>
  <si>
    <t>Blindware Signum Metallic Sunscreen Umber</t>
  </si>
  <si>
    <t>Blindware Signum Metallic Sunscreen Vanilla</t>
  </si>
  <si>
    <t>Blindware Signum Metallic Sunscreen White</t>
  </si>
  <si>
    <t>Blindware Signum Sunscreen Anthracite</t>
  </si>
  <si>
    <t>Blindware Signum Sunscreen Basalt</t>
  </si>
  <si>
    <t>Blindware Signum Sunscreen Charcoal</t>
  </si>
  <si>
    <t>Blindware Signum Sunscreen Coffee</t>
  </si>
  <si>
    <t>Blindware Signum Sunscreen Graphite</t>
  </si>
  <si>
    <t>Blindware Signum Sunscreen Grass Silk</t>
  </si>
  <si>
    <t>Blindware Signum Sunscreen Mist</t>
  </si>
  <si>
    <t>Blindware Signum Sunscreen Oak</t>
  </si>
  <si>
    <t>Blindware Signum Sunscreen Steel</t>
  </si>
  <si>
    <t>Blindware Signum Sunscreen Storm</t>
  </si>
  <si>
    <t>Blindware Signum Sunscreen TBA</t>
  </si>
  <si>
    <t>Blindware Signum Sunscreen Umber</t>
  </si>
  <si>
    <t>Blindware Signum Sunscreen Vanilla</t>
  </si>
  <si>
    <t>Blindware Signum Sunscreen White</t>
  </si>
  <si>
    <t>Louvolite Perspective Screen TBA</t>
  </si>
  <si>
    <t>Louvolite Secoura Sunscreen Ash</t>
  </si>
  <si>
    <t>Louvolite Secoura Sunscreen Iron Grey</t>
  </si>
  <si>
    <t>Louvolite Secoura Sunscreen Liquorice</t>
  </si>
  <si>
    <t>Louvolite Secoura Sunscreen Sandstone</t>
  </si>
  <si>
    <t>Louvolite Secoura Sunscreen TBA</t>
  </si>
  <si>
    <t>Louvolite Secoura Sunscreen White</t>
  </si>
  <si>
    <t>Hunter Douglas M Screen Sunscreen Charcoal/Charcoal</t>
  </si>
  <si>
    <t>Hunter Douglas M Screen Sunscreen Charcoal/Cocoa</t>
  </si>
  <si>
    <t>Hunter Douglas M Screen Sunscreen Charcoal/Grey</t>
  </si>
  <si>
    <t>Hunter Douglas M Screen Sunscreen Charcoal/Linen</t>
  </si>
  <si>
    <t>Hunter Douglas M Screen Sunscreen Charcoal/Lotus</t>
  </si>
  <si>
    <t>Hunter Douglas M Screen Sunscreen Charcoal/Pearl-Grey</t>
  </si>
  <si>
    <t>Hunter Douglas M Screen Sunscreen Charcoal/Sable</t>
  </si>
  <si>
    <t>Hunter Douglas M Screen Sunscreen Flagstone</t>
  </si>
  <si>
    <t>Hunter Douglas M Screen Sunscreen Granite</t>
  </si>
  <si>
    <t>Hunter Douglas M Screen Sunscreen Linen/Stone</t>
  </si>
  <si>
    <t>Hunter Douglas M Screen Sunscreen Oyster Shell</t>
  </si>
  <si>
    <t>Hunter Douglas M Screen Sunscreen Pearl/Linen</t>
  </si>
  <si>
    <t>Hunter Douglas M Screen Sunscreen Pearl/Pearl</t>
  </si>
  <si>
    <t>Hunter Douglas M Screen Sunscreen River Rock</t>
  </si>
  <si>
    <t>Hunter Douglas M Screen Sunscreen Silver Frost</t>
  </si>
  <si>
    <t>Hunter Douglas M Screen Sunscreen TBA</t>
  </si>
  <si>
    <t>Hunter Douglas M Screen Sunscreen Tumbleweed</t>
  </si>
  <si>
    <t>Hunter Douglas M Screen Sunscreen White/Linen</t>
  </si>
  <si>
    <t>Hunter Douglas M Screen Sunscreen White/Lotus</t>
  </si>
  <si>
    <t>Hunter Douglas M Screen Sunscreen White/Stone</t>
  </si>
  <si>
    <t>Hunter Douglas M Screen Sunscreen White/White</t>
  </si>
  <si>
    <t>Shaw Fabrics Duo Sunscreen Blue Grey</t>
  </si>
  <si>
    <t>Shaw Fabrics Sheerweave  Ecolibrium 4300 - 3% Sunscreen Charcoal</t>
  </si>
  <si>
    <t>Shaw Fabrics Sheerweave  Ecolibrium 4300 - 3% Sunscreen Charcoal Gold</t>
  </si>
  <si>
    <t>Shaw Fabrics Sheerweave  Ecolibrium 4300 - 3% Sunscreen Sandstone</t>
  </si>
  <si>
    <t>Shaw Fabrics Sheerweave  Ecolibrium 4300 - 3% Sunscreen Slate Stone</t>
  </si>
  <si>
    <t>Shaw Fabrics Sheerweave  Ecolibrium 4300 - 3% Sunscreen TBA</t>
  </si>
  <si>
    <t>Shaw Fabrics Sheerweave  Ecolibrium 4300 - 3% Sunscreen White</t>
  </si>
  <si>
    <t>Shaw Fabrics Sheerweave  Ecolibrium 4300 - 3% Sunscreen White Stone</t>
  </si>
  <si>
    <t>Shaw Fabrics Sheerweave 2390 Perf+ 5% Sunscreen Beige</t>
  </si>
  <si>
    <t>Shaw Fabrics Sheerweave 2390 Perf+ 5% Sunscreen Charcoal</t>
  </si>
  <si>
    <t>Shaw Fabrics Sheerweave 2390 Perf+ 5% Sunscreen Charcoal Chestnut</t>
  </si>
  <si>
    <t>Shaw Fabrics Sheerweave 2390 Perf+ 5% Sunscreen Charcoal Gold</t>
  </si>
  <si>
    <t>Shaw Fabrics Sheerweave 2390 Perf+ 5% Sunscreen Charcoal Grey</t>
  </si>
  <si>
    <t>Shaw Fabrics Sheerweave 2390 Perf+ 5% Sunscreen Oyster</t>
  </si>
  <si>
    <t>Shaw Fabrics Sheerweave 2390 Perf+ 5% Sunscreen Oyster Beige</t>
  </si>
  <si>
    <t>Shaw Fabrics Sheerweave 2390 Perf+ 5% Sunscreen TBA</t>
  </si>
  <si>
    <t>Shaw Fabrics Sheerweave 2410 Perf+ 3% Sunscreen Beige</t>
  </si>
  <si>
    <t>Shaw Fabrics Sheerweave 2410 Perf+ 3% Sunscreen Charcoal</t>
  </si>
  <si>
    <t>Shaw Fabrics Sheerweave 2410 Perf+ 3% Sunscreen Charcoal Chestnut</t>
  </si>
  <si>
    <t>Shaw Fabrics Sheerweave 2410 Perf+ 3% Sunscreen Charcoal Gold</t>
  </si>
  <si>
    <t>Shaw Fabrics Sheerweave 2410 Perf+ 3% Sunscreen Charcoal Grey</t>
  </si>
  <si>
    <t>Shaw Fabrics Sheerweave 2410 Perf+ 3% Sunscreen Oyster</t>
  </si>
  <si>
    <t>Shaw Fabrics Sheerweave 2410 Perf+ 3% Sunscreen Oyster Beige</t>
  </si>
  <si>
    <t>Shaw Fabrics Sheerweave 2410 Perf+ 3% Sunscreen TBA</t>
  </si>
  <si>
    <t>Shaw Fabrics Sheerweave Ecolibrium 4500 - 5% Sunscreen Charcoal</t>
  </si>
  <si>
    <t>Shaw Fabrics Sheerweave Ecolibrium 4500 - 5% Sunscreen Charcoal Bronze</t>
  </si>
  <si>
    <t>Shaw Fabrics Sheerweave Ecolibrium 4500 - 5% Sunscreen Charcoal Gold</t>
  </si>
  <si>
    <t>Shaw Fabrics Sheerweave Ecolibrium 4500 - 5% Sunscreen Charcoal Grey</t>
  </si>
  <si>
    <t>Shaw Fabrics Sheerweave Ecolibrium 4500 - 5% Sunscreen Ice</t>
  </si>
  <si>
    <t>Shaw Fabrics Sheerweave Ecolibrium 4500 - 5% Sunscreen Linen</t>
  </si>
  <si>
    <t>Shaw Fabrics Sheerweave Ecolibrium 4500 - 5% Sunscreen Sandstone</t>
  </si>
  <si>
    <t>Shaw Fabrics Sheerweave Ecolibrium 4500 - 5% Sunscreen TBA</t>
  </si>
  <si>
    <t>Shaw Fabrics Sheerweave Ecolibrium 4500 - 5% Sunscreen White</t>
  </si>
  <si>
    <t>Shaw Fabrics Sheerweave Ecolibrium 4500 - 5% Sunscreen White Grey</t>
  </si>
  <si>
    <t>Shaw Fabrics Sheerweave Ecolibrium 4500 - 5% Sunscreen White Linen</t>
  </si>
  <si>
    <t>Shaw Fabrics Sheerweave Ecolibrium 4500 - 5% Sunscreen White Stone</t>
  </si>
  <si>
    <t>Shaw Fabrics Sheerweave Ecolibrium 4510 - 10% Sunscreen Charcoal</t>
  </si>
  <si>
    <t>Shaw Fabrics Sheerweave Ecolibrium 4510 - 10% Sunscreen Charcoal Grey</t>
  </si>
  <si>
    <t>Shaw Fabrics Sheerweave Ecolibrium 4510 - 10% Sunscreen White</t>
  </si>
  <si>
    <t>Shaw Fabrics Sheerweave Ecolibrium 4510 - 10% Sunscreen White Grey</t>
  </si>
  <si>
    <t>Shaw Fabrics Sheerweave Ecolibrium 4510 - 10% Sunscreen White Linen</t>
  </si>
  <si>
    <t>Shaw Fabrics Sheerweave Ecolibrium 4510 - 10% Sunscreen White Stone</t>
  </si>
  <si>
    <t>Shaw Fabrics Sheerweave Ecolibrium 4510 - 10%Sunscreen TBA</t>
  </si>
  <si>
    <t>Texstyle Dakota Sunscreen Coal</t>
  </si>
  <si>
    <t>Texstyle Dakota Sunscreen Flint</t>
  </si>
  <si>
    <t>Texstyle Dakota Sunscreen Granite</t>
  </si>
  <si>
    <t>Texstyle Dakota Sunscreen Marble</t>
  </si>
  <si>
    <t>Texstyle Dakota Sunscreen Ore</t>
  </si>
  <si>
    <t>Texstyle Dakota Sunscreen Quartz</t>
  </si>
  <si>
    <t>Texstyle Dakota Sunscreen TBA</t>
  </si>
  <si>
    <t>Texstyle Kleenscreen Sunscreen Alloy</t>
  </si>
  <si>
    <t>Texstyle Kleenscreen Sunscreen Barley</t>
  </si>
  <si>
    <t>Texstyle Kleenscreen Sunscreen Black</t>
  </si>
  <si>
    <t>Texstyle Kleenscreen Sunscreen Black Pearl</t>
  </si>
  <si>
    <t>Texstyle Kleenscreen Sunscreen Charcoal</t>
  </si>
  <si>
    <t>Texstyle Kleenscreen Sunscreen Graphite</t>
  </si>
  <si>
    <t>Texstyle Kleenscreen Sunscreen Ivory</t>
  </si>
  <si>
    <t>Texstyle Kleenscreen Sunscreen Pewter</t>
  </si>
  <si>
    <t>Texstyle Kleenscreen Sunscreen Pumice</t>
  </si>
  <si>
    <t>Texstyle Kleenscreen Sunscreen Pure White</t>
  </si>
  <si>
    <t>Texstyle Kleenscreen Sunscreen Shale</t>
  </si>
  <si>
    <t>Texstyle Kleenscreen Sunscreen TBA</t>
  </si>
  <si>
    <t>Texstyle One Screen Sunscreen Black</t>
  </si>
  <si>
    <t>F8</t>
  </si>
  <si>
    <t>Texstyle One Screen Sunscreen Charcoal</t>
  </si>
  <si>
    <t>Texstyle One Screen Sunscreen Dune</t>
  </si>
  <si>
    <t>Texstyle One Screen Sunscreen Grey</t>
  </si>
  <si>
    <t>Texstyle One Screen Sunscreen Gunmetal</t>
  </si>
  <si>
    <t>Texstyle One Screen Sunscreen Ice</t>
  </si>
  <si>
    <t>Texstyle One Screen Sunscreen Linen Bronze</t>
  </si>
  <si>
    <t>Texstyle One Screen Sunscreen Mercury</t>
  </si>
  <si>
    <t>Texstyle One Screen Sunscreen Sand</t>
  </si>
  <si>
    <t>Texstyle One Screen Sunscreen Silver Black</t>
  </si>
  <si>
    <t>Texstyle One Screen Sunscreen TBA</t>
  </si>
  <si>
    <t>Texstyle One Screen Sunscreen Wallaby</t>
  </si>
  <si>
    <t>Texstyle One Screen Sunscreen White</t>
  </si>
  <si>
    <t>Texstyle Solar View Sunscreen Alabaster</t>
  </si>
  <si>
    <t>Texstyle Solar View Sunscreen Black</t>
  </si>
  <si>
    <t>Texstyle Solar View Sunscreen Black/Copper</t>
  </si>
  <si>
    <t>Texstyle Solar View Sunscreen Bone/Off White</t>
  </si>
  <si>
    <t>Texstyle Solar View Sunscreen Bronze/Charcoal</t>
  </si>
  <si>
    <t>Texstyle Solar View Sunscreen Charcoal</t>
  </si>
  <si>
    <t>Texstyle Solar View Sunscreen Cotton</t>
  </si>
  <si>
    <t>Texstyle Solar View Sunscreen Grey</t>
  </si>
  <si>
    <t>Texstyle Solar View Sunscreen Off White</t>
  </si>
  <si>
    <t>Texstyle Solar View Sunscreen Platinum</t>
  </si>
  <si>
    <t>Texstyle Solar View Sunscreen Taupe</t>
  </si>
  <si>
    <t>Texstyle Solar View Sunscreen TBA</t>
  </si>
  <si>
    <t>Texstyle Solar View Sunscreen White</t>
  </si>
  <si>
    <t>Texstyle Vivid Shade Sunscreen Black</t>
  </si>
  <si>
    <t>Texstyle Vivid Shade Sunscreen Black/Beige</t>
  </si>
  <si>
    <t>Texstyle Vivid Shade Sunscreen Black/Bronze</t>
  </si>
  <si>
    <t>Texstyle Vivid Shade Sunscreen Black/Sable</t>
  </si>
  <si>
    <t>Texstyle Vivid Shade Sunscreen Bronze/Grey</t>
  </si>
  <si>
    <t>Texstyle Vivid Shade Sunscreen Charcoal</t>
  </si>
  <si>
    <t>Texstyle Vivid Shade Sunscreen Charcoal/Grey</t>
  </si>
  <si>
    <t>Texstyle Vivid Shade Sunscreen Linen/Bronze</t>
  </si>
  <si>
    <t>Texstyle Vivid Shade Sunscreen Silver/Grey</t>
  </si>
  <si>
    <t>Texstyle Vivid Shade Sunscreen Silver/Linen</t>
  </si>
  <si>
    <t>Texstyle Vivid Shade Sunscreen TBA</t>
  </si>
  <si>
    <t>Texstyle Vivid Shade Sunscreen White</t>
  </si>
  <si>
    <t>Texstyle Vivid Shade Sunscreen White/Bone</t>
  </si>
  <si>
    <t>Texstyle Vivid Shade Sunscreen White/Grey</t>
  </si>
  <si>
    <t>Texstyle Vivid Shade Sunscreen White/Lily</t>
  </si>
  <si>
    <t>Texstyle Vivid Shade Sunscreen White/Silver</t>
  </si>
  <si>
    <t>Texstyle Vivid Shade Sunscreen White/Stone</t>
  </si>
  <si>
    <t>Hunter Douglas E Screen 6% Sunscreen TBA</t>
  </si>
  <si>
    <t>Hunter Douglas E Screen 6% Sunscreen White</t>
  </si>
  <si>
    <t>Hunter Douglas E Screen 6% Sunscreen Whisper</t>
  </si>
  <si>
    <t>Hunter Douglas E Screen 6% Sunscreen White Pearl</t>
  </si>
  <si>
    <t>Hunter Douglas E Screen 6% Sunscreen Grey Midnight Linen</t>
  </si>
  <si>
    <t>Hunter Douglas E Screen 6% Sunscreen Gravity</t>
  </si>
  <si>
    <t>Hunter Douglas E Screen 6% Sunscreen Cucmberland</t>
  </si>
  <si>
    <t>Hunter Douglas E Screen 6% Sunscreen Charcoal Cocoa</t>
  </si>
  <si>
    <t>Hunter Douglas E Screen 6% Sunscreen Charcoal Grey</t>
  </si>
  <si>
    <t>Hunter Douglas E Screen 6% Sunscreen Midnight</t>
  </si>
  <si>
    <t>Hunter Douglas E Screen 10% Sunscreen TBA</t>
  </si>
  <si>
    <t>Hunter Douglas E Screen 10% Sunscreen White/White</t>
  </si>
  <si>
    <t>Hunter Douglas E Screen 10% Sunscreen White/Pearl</t>
  </si>
  <si>
    <t>Hunter Douglas E Screen 10% Sunscreen Charcoal/Grey</t>
  </si>
  <si>
    <t>Hunter Douglas E Screen 10% Sunscreen Charcoal/Charcoal</t>
  </si>
  <si>
    <t>Hunter Douglas E Screen 10% Sunscreen Charcoal/Cocoa</t>
  </si>
  <si>
    <t>Hunter Douglas Optimascreen Plus Sunscreen White</t>
  </si>
  <si>
    <t>Hunter Douglas Optimascreen Plus Sunscreen TBA</t>
  </si>
  <si>
    <t>Hunter Douglas Optimascreen Plus Sunscreen White/Linen</t>
  </si>
  <si>
    <t>Hunter Douglas Optimascreen Plus Sunscreen White/Pearl/White/Grey</t>
  </si>
  <si>
    <t>Hunter Douglas Optimascreen Plus Sunscreen White/Sand</t>
  </si>
  <si>
    <t>Hunter Douglas Optimascreen Plus Sunscreen Black/Pearl</t>
  </si>
  <si>
    <t>Hunter Douglas Optimascreen Plus Sunscreen Black/Grey</t>
  </si>
  <si>
    <t>Hunter Douglas Optimascreen Plus Sunscreen Black</t>
  </si>
  <si>
    <t>Shann Window Fabrics S-View Sunscreen Polar</t>
  </si>
  <si>
    <t>Shann Window Fabrics S-View Sunscreen Desert</t>
  </si>
  <si>
    <t>Shann Window Fabrics S-View Sunscreen Taupe</t>
  </si>
  <si>
    <t>Shann Window Fabrics S-View Sunscreen Espresso</t>
  </si>
  <si>
    <t>Shann Window Fabrics S-View Sunscreen Chocolate</t>
  </si>
  <si>
    <t>Shann Window Fabrics S-View Sunscreen Linen</t>
  </si>
  <si>
    <t>Shann Window Fabrics S-View Sunscreen Charcoal Sand</t>
  </si>
  <si>
    <t>Shann Window Fabrics S-View Sunscreen Basalt</t>
  </si>
  <si>
    <t>Shann Window Fabrics S-View Sunscreen Silver Grey</t>
  </si>
  <si>
    <t>Shann Window Fabrics S-View Sunscreen White Liquorice</t>
  </si>
  <si>
    <t>Shann Window Fabrics S-View Sunscreen Black</t>
  </si>
  <si>
    <t>Shann Window Fabrics S-View Sunscreen TBA</t>
  </si>
  <si>
    <t>Component Colour Matching</t>
  </si>
  <si>
    <t>Stock Fabric?</t>
  </si>
  <si>
    <t>N</t>
  </si>
  <si>
    <t>Cutting Speed</t>
  </si>
  <si>
    <t>J</t>
  </si>
  <si>
    <t>Hunter Douglas Plaza Plus Blockout Alpine Haze</t>
  </si>
  <si>
    <t>2200 / 3200</t>
  </si>
  <si>
    <t>2200 / 3000</t>
  </si>
  <si>
    <t>W13</t>
  </si>
  <si>
    <t>x3000x</t>
  </si>
  <si>
    <t>Four Families Tasman Blockout Beech</t>
  </si>
  <si>
    <t>Four Families Tasman Blockout Graphite</t>
  </si>
  <si>
    <t>Four Families Tasman Blockout Ice</t>
  </si>
  <si>
    <t>Four Families Tasman Blockout Ivory</t>
  </si>
  <si>
    <t>Four Families Tasman Blockout Platinum</t>
  </si>
  <si>
    <t>Four Families Tasman Blockout Shadow</t>
  </si>
  <si>
    <t>Four Families Tasman Blockout Skyline</t>
  </si>
  <si>
    <t>Four Families Tasman Blockout Storm</t>
  </si>
  <si>
    <t>Four Families Tasman Blockout TBA</t>
  </si>
  <si>
    <t>B/Rail Type</t>
  </si>
  <si>
    <t>AJ</t>
  </si>
  <si>
    <t>B/Rail</t>
  </si>
  <si>
    <t>D30 Bottom Rail Bone</t>
  </si>
  <si>
    <t>D30 Bottom Rail End Caps Bone</t>
  </si>
  <si>
    <t>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</si>
</sst>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  <numFmt numFmtId="165" formatCode="dd/mm/yyyy"/>
    <numFmt numFmtId="166" formatCode="0.0"/>
    <numFmt numFmtId="167" formatCode="&quot;$&quot;#,##0.00"/>
  </numFmts>
  <fonts count="58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b/>
      <sz val="30"/>
      <name val="Arial"/>
      <family val="2"/>
    </font>
    <font>
      <b/>
      <sz val="36"/>
      <color theme="0"/>
      <name val="IDAutomationSHI25M"/>
      <family val="2"/>
    </font>
    <font>
      <u/>
      <sz val="7.5"/>
      <color indexed="12"/>
      <name val="Arial"/>
      <family val="2"/>
    </font>
    <font>
      <sz val="11"/>
      <color indexed="20"/>
      <name val="Calibri"/>
      <family val="2"/>
    </font>
    <font>
      <u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6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i/>
      <sz val="20"/>
      <name val="Arial"/>
      <family val="2"/>
    </font>
    <font>
      <b/>
      <sz val="24"/>
      <name val="Arial"/>
      <family val="2"/>
    </font>
    <font>
      <b/>
      <sz val="26"/>
      <name val="Arial"/>
      <family val="2"/>
    </font>
    <font>
      <sz val="10"/>
      <color rgb="FFFFFFFF"/>
      <name val="Arial"/>
      <family val="2"/>
    </font>
    <font>
      <b/>
      <sz val="20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sz val="24"/>
      <name val="Arial"/>
      <family val="2"/>
    </font>
    <font>
      <sz val="22"/>
      <name val="Arial"/>
      <family val="2"/>
    </font>
    <font>
      <i/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/>
      <sz val="26"/>
      <name val="Arial"/>
      <family val="2"/>
    </font>
    <font>
      <b/>
      <sz val="11"/>
      <color theme="1"/>
      <name val="Calibri"/>
      <family val="2"/>
      <scheme val="minor"/>
    </font>
    <font>
      <b/>
      <sz val="36"/>
      <name val="Arial"/>
      <family val="2"/>
    </font>
    <font>
      <b/>
      <sz val="72"/>
      <color theme="0"/>
      <name val="Arial"/>
      <family val="2"/>
    </font>
    <font>
      <sz val="8"/>
      <color theme="1"/>
      <name val="Arial"/>
      <family val="2"/>
    </font>
    <font>
      <b/>
      <sz val="10"/>
      <color theme="1"/>
      <name val="Calibri"/>
      <family val="2"/>
      <scheme val="minor"/>
    </font>
    <font>
      <sz val="20"/>
      <name val="Arial"/>
      <family val="2"/>
    </font>
    <font>
      <i/>
      <sz val="24"/>
      <name val="Arial"/>
      <family val="2"/>
    </font>
    <font>
      <sz val="28"/>
      <name val="Arial"/>
      <family val="2"/>
    </font>
    <font>
      <sz val="36"/>
      <name val="Arial"/>
      <family val="2"/>
    </font>
    <font>
      <i/>
      <sz val="36"/>
      <name val="Arial"/>
      <family val="2"/>
    </font>
    <font>
      <b/>
      <sz val="28"/>
      <name val="Arial"/>
      <family val="2"/>
    </font>
    <font>
      <b/>
      <sz val="24"/>
      <color theme="1"/>
      <name val="Arial"/>
      <family val="2"/>
    </font>
    <font>
      <sz val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783165990173039"/>
        <bgColor indexed="64"/>
      </patternFill>
    </fill>
    <fill>
      <patternFill patternType="solid">
        <fgColor theme="0" tint="-0.14896084475234231"/>
        <bgColor indexed="64"/>
      </patternFill>
    </fill>
    <fill>
      <patternFill patternType="solid">
        <fgColor theme="0" tint="-0.14893032624286631"/>
        <bgColor indexed="64"/>
      </patternFill>
    </fill>
    <fill>
      <patternFill patternType="solid">
        <fgColor theme="0" tint="-0.14865565965758232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61088900418105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89">
    <xf numFmtId="0" fontId="0" fillId="0" borderId="0"/>
    <xf numFmtId="9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/>
    <xf numFmtId="0" fontId="1" fillId="0" borderId="0"/>
    <xf numFmtId="0" fontId="57" fillId="6" borderId="7" applyNumberFormat="0" applyFont="0" applyAlignment="0" applyProtection="0"/>
    <xf numFmtId="0" fontId="19" fillId="15" borderId="8" applyNumberFormat="0" applyAlignment="0" applyProtection="0"/>
    <xf numFmtId="9" fontId="5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14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20" borderId="10" applyNumberFormat="0" applyAlignment="0" applyProtection="0"/>
    <xf numFmtId="0" fontId="57" fillId="0" borderId="0"/>
    <xf numFmtId="0" fontId="1" fillId="0" borderId="0"/>
    <xf numFmtId="0" fontId="1" fillId="0" borderId="0"/>
    <xf numFmtId="0" fontId="57" fillId="0" borderId="0"/>
    <xf numFmtId="0" fontId="5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38">
    <xf numFmtId="0" fontId="0" fillId="0" borderId="0" xfId="0"/>
    <xf numFmtId="0" fontId="30" fillId="15" borderId="11" xfId="0" applyFont="1" applyFill="1" applyBorder="1" applyAlignment="1" applyProtection="1">
      <alignment horizontal="center" vertical="center" wrapText="1"/>
      <protection hidden="1"/>
    </xf>
    <xf numFmtId="0" fontId="30" fillId="23" borderId="11" xfId="0" applyFont="1" applyFill="1" applyBorder="1" applyAlignment="1">
      <alignment horizontal="center" vertical="center" wrapText="1"/>
    </xf>
    <xf numFmtId="0" fontId="30" fillId="21" borderId="11" xfId="0" applyFont="1" applyFill="1" applyBorder="1" applyAlignment="1">
      <alignment horizontal="center" vertical="center" wrapText="1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 applyProtection="1">
      <alignment horizontal="center" vertical="center" wrapText="1"/>
      <protection locked="0"/>
    </xf>
    <xf numFmtId="14" fontId="34" fillId="15" borderId="11" xfId="0" applyNumberFormat="1" applyFont="1" applyFill="1" applyBorder="1" applyAlignment="1" applyProtection="1">
      <alignment horizontal="center" wrapText="1"/>
      <protection locked="0"/>
    </xf>
    <xf numFmtId="14" fontId="34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>
      <alignment horizontal="center" vertical="center" wrapText="1"/>
    </xf>
    <xf numFmtId="0" fontId="34" fillId="27" borderId="11" xfId="0" applyFont="1" applyFill="1" applyBorder="1" applyAlignment="1" applyProtection="1">
      <alignment horizontal="center" vertical="center" wrapText="1"/>
      <protection hidden="1"/>
    </xf>
    <xf numFmtId="0" fontId="43" fillId="0" borderId="11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hidden="1"/>
    </xf>
    <xf numFmtId="0" fontId="37" fillId="0" borderId="11" xfId="0" applyFont="1" applyBorder="1" applyAlignment="1" applyProtection="1">
      <alignment horizontal="center" vertical="center" wrapText="1"/>
      <protection locked="0" hidden="1"/>
    </xf>
    <xf numFmtId="0" fontId="30" fillId="0" borderId="11" xfId="0" applyFont="1" applyBorder="1" applyAlignment="1" applyProtection="1">
      <alignment horizontal="center" vertical="center" wrapText="1"/>
      <protection hidden="1"/>
    </xf>
    <xf numFmtId="0" fontId="5" fillId="0" borderId="12" xfId="0" applyFont="1" applyBorder="1" applyAlignment="1">
      <alignment horizontal="center" vertical="center"/>
    </xf>
    <xf numFmtId="0" fontId="43" fillId="0" borderId="11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hidden="1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 applyProtection="1">
      <alignment horizontal="center" vertical="center" wrapText="1"/>
      <protection locked="0"/>
    </xf>
    <xf numFmtId="14" fontId="34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4" fillId="0" borderId="0" xfId="58" applyAlignment="1" applyProtection="1"/>
    <xf numFmtId="0" fontId="4" fillId="0" borderId="11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0" fontId="31" fillId="0" borderId="0" xfId="0" applyFont="1" applyAlignment="1">
      <alignment horizontal="left"/>
    </xf>
    <xf numFmtId="0" fontId="1" fillId="0" borderId="0" xfId="71"/>
    <xf numFmtId="0" fontId="31" fillId="0" borderId="11" xfId="0" applyFont="1" applyBorder="1" applyAlignment="1" applyProtection="1">
      <alignment horizontal="center" vertical="center" wrapText="1"/>
      <protection locked="0" hidden="1"/>
    </xf>
    <xf numFmtId="0" fontId="0" fillId="0" borderId="11" xfId="0" applyBorder="1"/>
    <xf numFmtId="0" fontId="40" fillId="0" borderId="0" xfId="0" applyFont="1" applyAlignment="1" applyProtection="1">
      <alignment horizontal="center" vertical="center" wrapText="1"/>
      <protection locked="0" hidden="1"/>
    </xf>
    <xf numFmtId="0" fontId="40" fillId="0" borderId="0" xfId="0" applyFont="1" applyAlignment="1" applyProtection="1">
      <alignment horizontal="center" vertical="center" wrapText="1"/>
      <protection locked="0"/>
    </xf>
    <xf numFmtId="0" fontId="43" fillId="0" borderId="11" xfId="0" applyFont="1" applyBorder="1" applyAlignment="1" applyProtection="1">
      <alignment horizontal="center" vertical="center" wrapText="1"/>
      <protection locked="0" hidden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0" fillId="0" borderId="11" xfId="0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 applyProtection="1">
      <alignment horizontal="center" vertical="center" wrapText="1"/>
      <protection locked="0" hidden="1"/>
    </xf>
    <xf numFmtId="0" fontId="43" fillId="0" borderId="0" xfId="0" applyFont="1" applyAlignment="1">
      <alignment vertical="center"/>
    </xf>
    <xf numFmtId="0" fontId="43" fillId="0" borderId="0" xfId="0" applyFont="1"/>
    <xf numFmtId="0" fontId="41" fillId="0" borderId="11" xfId="0" applyFont="1" applyBorder="1" applyAlignment="1" applyProtection="1">
      <alignment horizontal="center" vertical="center" wrapText="1"/>
      <protection locked="0" hidden="1"/>
    </xf>
    <xf numFmtId="0" fontId="41" fillId="0" borderId="0" xfId="0" applyFont="1" applyAlignment="1" applyProtection="1">
      <alignment horizontal="center" vertical="center" wrapText="1"/>
      <protection locked="0" hidden="1"/>
    </xf>
    <xf numFmtId="2" fontId="0" fillId="0" borderId="0" xfId="0" applyNumberForma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31" fillId="0" borderId="0" xfId="0" applyFont="1"/>
    <xf numFmtId="0" fontId="31" fillId="0" borderId="0" xfId="0" applyFont="1" applyAlignment="1">
      <alignment horizontal="center"/>
    </xf>
    <xf numFmtId="165" fontId="0" fillId="0" borderId="0" xfId="0" applyNumberFormat="1"/>
    <xf numFmtId="0" fontId="31" fillId="0" borderId="13" xfId="0" applyFont="1" applyBorder="1" applyAlignment="1" applyProtection="1">
      <alignment horizontal="center" vertical="center" wrapText="1"/>
      <protection locked="0" hidden="1"/>
    </xf>
    <xf numFmtId="0" fontId="0" fillId="0" borderId="0" xfId="0" applyAlignment="1">
      <alignment horizontal="center" wrapText="1"/>
    </xf>
    <xf numFmtId="0" fontId="22" fillId="0" borderId="0" xfId="0" applyFont="1" applyAlignment="1" applyProtection="1">
      <alignment horizontal="center" vertical="center" wrapText="1"/>
      <protection locked="0" hidden="1"/>
    </xf>
    <xf numFmtId="0" fontId="35" fillId="0" borderId="0" xfId="0" applyFont="1" applyAlignment="1">
      <alignment horizontal="center" wrapText="1"/>
    </xf>
    <xf numFmtId="0" fontId="31" fillId="0" borderId="13" xfId="0" applyFont="1" applyBorder="1" applyAlignment="1">
      <alignment horizontal="center" vertical="center" wrapText="1"/>
    </xf>
    <xf numFmtId="0" fontId="0" fillId="15" borderId="0" xfId="0" applyFill="1" applyAlignment="1">
      <alignment horizontal="center" wrapText="1"/>
    </xf>
    <xf numFmtId="0" fontId="1" fillId="0" borderId="0" xfId="71" applyAlignment="1">
      <alignment vertical="center" wrapText="1"/>
    </xf>
    <xf numFmtId="0" fontId="39" fillId="0" borderId="0" xfId="0" applyFont="1"/>
    <xf numFmtId="0" fontId="43" fillId="0" borderId="11" xfId="0" applyFont="1" applyBorder="1" applyAlignment="1">
      <alignment horizontal="center" vertical="center" wrapText="1"/>
    </xf>
    <xf numFmtId="1" fontId="32" fillId="0" borderId="11" xfId="0" applyNumberFormat="1" applyFont="1" applyBorder="1" applyAlignment="1" applyProtection="1">
      <alignment horizontal="center" vertical="center" wrapText="1"/>
      <protection locked="0" hidden="1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1" fillId="0" borderId="11" xfId="0" applyFont="1" applyBorder="1" applyAlignment="1">
      <alignment horizontal="center" vertical="center" wrapText="1"/>
    </xf>
    <xf numFmtId="1" fontId="2" fillId="0" borderId="0" xfId="0" applyNumberFormat="1" applyFont="1"/>
    <xf numFmtId="166" fontId="2" fillId="0" borderId="0" xfId="0" applyNumberFormat="1" applyFont="1"/>
    <xf numFmtId="0" fontId="2" fillId="0" borderId="0" xfId="0" applyFont="1" applyAlignment="1">
      <alignment horizontal="center" textRotation="90" wrapText="1"/>
    </xf>
    <xf numFmtId="0" fontId="2" fillId="0" borderId="0" xfId="0" applyFont="1" applyAlignment="1">
      <alignment horizontal="center" vertical="center" wrapText="1"/>
    </xf>
    <xf numFmtId="167" fontId="48" fillId="0" borderId="0" xfId="0" applyNumberFormat="1" applyFont="1" applyAlignment="1">
      <alignment horizontal="center" textRotation="90"/>
    </xf>
    <xf numFmtId="0" fontId="3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8" fillId="15" borderId="11" xfId="0" applyFont="1" applyFill="1" applyBorder="1" applyAlignment="1" applyProtection="1">
      <alignment horizontal="center" vertical="center" wrapText="1"/>
      <protection hidden="1"/>
    </xf>
    <xf numFmtId="0" fontId="38" fillId="0" borderId="11" xfId="0" applyFont="1" applyBorder="1" applyAlignment="1" applyProtection="1">
      <alignment horizontal="center" vertical="center" wrapText="1"/>
      <protection hidden="1"/>
    </xf>
    <xf numFmtId="0" fontId="29" fillId="0" borderId="11" xfId="0" applyFont="1" applyBorder="1" applyAlignment="1" applyProtection="1">
      <alignment horizontal="center" vertical="center" wrapText="1"/>
      <protection hidden="1"/>
    </xf>
    <xf numFmtId="0" fontId="40" fillId="0" borderId="11" xfId="0" applyFont="1" applyBorder="1" applyAlignment="1">
      <alignment horizontal="center" vertical="center" wrapText="1"/>
    </xf>
    <xf numFmtId="0" fontId="40" fillId="0" borderId="11" xfId="0" applyFont="1" applyBorder="1" applyAlignment="1" applyProtection="1">
      <alignment horizontal="center" vertical="center" wrapText="1"/>
      <protection locked="0" hidden="1"/>
    </xf>
    <xf numFmtId="0" fontId="5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9" fillId="15" borderId="11" xfId="0" applyFont="1" applyFill="1" applyBorder="1" applyAlignment="1" applyProtection="1">
      <alignment horizontal="center" vertical="center" wrapText="1"/>
      <protection hidden="1"/>
    </xf>
    <xf numFmtId="0" fontId="29" fillId="0" borderId="11" xfId="0" applyFont="1" applyBorder="1" applyAlignment="1">
      <alignment horizontal="center" vertical="center" wrapText="1"/>
    </xf>
    <xf numFmtId="0" fontId="31" fillId="22" borderId="11" xfId="0" applyFont="1" applyFill="1" applyBorder="1" applyAlignment="1" applyProtection="1">
      <alignment horizontal="center" vertical="center" wrapText="1"/>
      <protection locked="0" hidden="1"/>
    </xf>
    <xf numFmtId="0" fontId="31" fillId="21" borderId="11" xfId="0" applyFont="1" applyFill="1" applyBorder="1" applyAlignment="1" applyProtection="1">
      <alignment horizontal="center" vertical="center" wrapText="1"/>
      <protection locked="0" hidden="1"/>
    </xf>
    <xf numFmtId="0" fontId="31" fillId="23" borderId="11" xfId="0" applyFont="1" applyFill="1" applyBorder="1" applyAlignment="1" applyProtection="1">
      <alignment horizontal="center" vertical="center" wrapText="1"/>
      <protection locked="0" hidden="1"/>
    </xf>
    <xf numFmtId="0" fontId="34" fillId="15" borderId="11" xfId="0" applyFont="1" applyFill="1" applyBorder="1" applyAlignment="1">
      <alignment vertical="center" wrapText="1"/>
    </xf>
    <xf numFmtId="14" fontId="34" fillId="0" borderId="11" xfId="0" applyNumberFormat="1" applyFont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4" fillId="15" borderId="11" xfId="0" applyFont="1" applyFill="1" applyBorder="1" applyAlignment="1" applyProtection="1">
      <alignment horizontal="center" vertical="center" wrapText="1"/>
      <protection hidden="1"/>
    </xf>
    <xf numFmtId="0" fontId="43" fillId="0" borderId="11" xfId="0" applyFont="1" applyBorder="1" applyAlignment="1">
      <alignment horizontal="right" vertical="center" wrapText="1"/>
    </xf>
    <xf numFmtId="0" fontId="43" fillId="24" borderId="11" xfId="0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wrapText="1"/>
    </xf>
    <xf numFmtId="0" fontId="38" fillId="25" borderId="11" xfId="0" applyFont="1" applyFill="1" applyBorder="1" applyAlignment="1" applyProtection="1">
      <alignment horizontal="center" vertical="center" wrapText="1"/>
      <protection hidden="1"/>
    </xf>
    <xf numFmtId="0" fontId="31" fillId="25" borderId="11" xfId="0" applyFont="1" applyFill="1" applyBorder="1" applyAlignment="1" applyProtection="1">
      <alignment horizontal="center" vertical="center" wrapText="1"/>
      <protection locked="0" hidden="1"/>
    </xf>
    <xf numFmtId="0" fontId="32" fillId="25" borderId="11" xfId="0" applyFont="1" applyFill="1" applyBorder="1" applyAlignment="1" applyProtection="1">
      <alignment horizontal="center" vertical="center" wrapText="1"/>
      <protection locked="0" hidden="1"/>
    </xf>
    <xf numFmtId="1" fontId="32" fillId="25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41" fillId="25" borderId="11" xfId="0" applyFont="1" applyFill="1" applyBorder="1" applyAlignment="1" applyProtection="1">
      <alignment horizontal="center" vertical="center" wrapText="1"/>
      <protection locked="0" hidden="1"/>
    </xf>
    <xf numFmtId="0" fontId="2" fillId="0" borderId="0" xfId="0" applyFont="1" applyAlignment="1">
      <alignment horizontal="center" vertical="center"/>
    </xf>
    <xf numFmtId="0" fontId="2" fillId="0" borderId="12" xfId="0" applyFont="1" applyBorder="1"/>
    <xf numFmtId="0" fontId="0" fillId="0" borderId="12" xfId="0" applyBorder="1"/>
    <xf numFmtId="166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" fontId="2" fillId="0" borderId="12" xfId="0" applyNumberFormat="1" applyFont="1" applyBorder="1" applyAlignment="1">
      <alignment horizontal="center" vertical="center"/>
    </xf>
    <xf numFmtId="0" fontId="50" fillId="0" borderId="11" xfId="0" applyFont="1" applyBorder="1" applyAlignment="1">
      <alignment horizontal="right" vertical="top"/>
    </xf>
    <xf numFmtId="0" fontId="2" fillId="0" borderId="11" xfId="0" applyFont="1" applyBorder="1" applyAlignment="1">
      <alignment horizontal="center" wrapText="1"/>
    </xf>
    <xf numFmtId="0" fontId="0" fillId="0" borderId="0" xfId="0" applyAlignment="1">
      <alignment textRotation="90"/>
    </xf>
    <xf numFmtId="0" fontId="50" fillId="0" borderId="11" xfId="0" applyFont="1" applyBorder="1" applyAlignment="1">
      <alignment horizontal="center" vertical="center" wrapText="1"/>
    </xf>
    <xf numFmtId="0" fontId="50" fillId="0" borderId="11" xfId="0" applyFont="1" applyBorder="1" applyAlignment="1" applyProtection="1">
      <alignment horizontal="right" vertical="top" wrapText="1"/>
      <protection locked="0" hidden="1"/>
    </xf>
    <xf numFmtId="1" fontId="41" fillId="0" borderId="11" xfId="0" applyNumberFormat="1" applyFont="1" applyBorder="1" applyAlignment="1" applyProtection="1">
      <alignment horizontal="center" vertical="center" wrapText="1"/>
      <protection locked="0" hidden="1"/>
    </xf>
    <xf numFmtId="1" fontId="51" fillId="0" borderId="11" xfId="0" applyNumberFormat="1" applyFont="1" applyBorder="1" applyAlignment="1" applyProtection="1">
      <alignment horizontal="center" vertical="center" wrapText="1"/>
      <protection locked="0" hidden="1"/>
    </xf>
    <xf numFmtId="0" fontId="50" fillId="0" borderId="11" xfId="0" applyFont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>
      <alignment horizontal="center" vertical="center" wrapText="1"/>
    </xf>
    <xf numFmtId="14" fontId="38" fillId="15" borderId="11" xfId="0" applyNumberFormat="1" applyFont="1" applyFill="1" applyBorder="1" applyAlignment="1" applyProtection="1">
      <alignment horizontal="center" vertical="center" wrapText="1"/>
      <protection locked="0"/>
    </xf>
    <xf numFmtId="1" fontId="41" fillId="25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53" fillId="25" borderId="11" xfId="0" applyFont="1" applyFill="1" applyBorder="1" applyAlignment="1" applyProtection="1">
      <alignment horizontal="center" vertical="center" wrapText="1"/>
      <protection locked="0" hidden="1"/>
    </xf>
    <xf numFmtId="1" fontId="54" fillId="0" borderId="11" xfId="0" applyNumberFormat="1" applyFont="1" applyBorder="1" applyAlignment="1" applyProtection="1">
      <alignment horizontal="center" vertical="center" wrapText="1"/>
      <protection locked="0" hidden="1"/>
    </xf>
    <xf numFmtId="1" fontId="54" fillId="25" borderId="11" xfId="0" applyNumberFormat="1" applyFont="1" applyFill="1" applyBorder="1" applyAlignment="1" applyProtection="1">
      <alignment horizontal="center" vertical="center" wrapText="1"/>
      <protection locked="0" hidden="1"/>
    </xf>
    <xf numFmtId="14" fontId="55" fillId="15" borderId="11" xfId="0" applyNumberFormat="1" applyFont="1" applyFill="1" applyBorder="1" applyAlignment="1" applyProtection="1">
      <alignment vertical="center" wrapText="1"/>
      <protection locked="0"/>
    </xf>
    <xf numFmtId="14" fontId="55" fillId="15" borderId="11" xfId="0" applyNumberFormat="1" applyFont="1" applyFill="1" applyBorder="1" applyAlignment="1" applyProtection="1">
      <alignment wrapText="1"/>
      <protection locked="0"/>
    </xf>
    <xf numFmtId="1" fontId="52" fillId="0" borderId="11" xfId="0" applyNumberFormat="1" applyFont="1" applyBorder="1" applyAlignment="1" applyProtection="1">
      <alignment horizontal="center" vertical="center" wrapText="1"/>
      <protection locked="0" hidden="1"/>
    </xf>
    <xf numFmtId="1" fontId="53" fillId="0" borderId="11" xfId="0" applyNumberFormat="1" applyFont="1" applyBorder="1" applyAlignment="1" applyProtection="1">
      <alignment horizontal="center" vertical="center" wrapText="1"/>
      <protection locked="0" hidden="1"/>
    </xf>
    <xf numFmtId="0" fontId="53" fillId="0" borderId="11" xfId="0" applyFont="1" applyBorder="1" applyAlignment="1" applyProtection="1">
      <alignment horizontal="center" vertical="center" wrapText="1"/>
      <protection locked="0" hidden="1"/>
    </xf>
    <xf numFmtId="0" fontId="4" fillId="26" borderId="0" xfId="0" applyFont="1" applyFill="1" applyAlignment="1">
      <alignment horizontal="center" vertical="center" wrapText="1"/>
    </xf>
    <xf numFmtId="0" fontId="34" fillId="0" borderId="11" xfId="0" applyFont="1" applyBorder="1" applyAlignment="1">
      <alignment horizontal="center" vertical="center" wrapText="1"/>
    </xf>
    <xf numFmtId="0" fontId="34" fillId="0" borderId="11" xfId="0" applyFont="1" applyBorder="1" applyAlignment="1" applyProtection="1">
      <alignment horizontal="center" wrapText="1"/>
      <protection hidden="1"/>
    </xf>
    <xf numFmtId="0" fontId="30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0" fillId="24" borderId="11" xfId="0" applyFont="1" applyFill="1" applyBorder="1" applyAlignment="1" applyProtection="1">
      <alignment horizontal="center" vertical="center" wrapText="1"/>
      <protection hidden="1"/>
    </xf>
    <xf numFmtId="0" fontId="30" fillId="22" borderId="11" xfId="0" applyFont="1" applyFill="1" applyBorder="1" applyAlignment="1">
      <alignment horizontal="center" vertical="center" wrapText="1"/>
    </xf>
    <xf numFmtId="164" fontId="33" fillId="0" borderId="14" xfId="0" applyNumberFormat="1" applyFont="1" applyBorder="1" applyAlignment="1" applyProtection="1">
      <alignment horizontal="center" vertical="center" wrapText="1"/>
      <protection hidden="1"/>
    </xf>
    <xf numFmtId="164" fontId="33" fillId="0" borderId="15" xfId="0" applyNumberFormat="1" applyFont="1" applyBorder="1" applyAlignment="1" applyProtection="1">
      <alignment horizontal="center" vertical="center" wrapText="1"/>
      <protection hidden="1"/>
    </xf>
    <xf numFmtId="164" fontId="33" fillId="0" borderId="16" xfId="0" applyNumberFormat="1" applyFont="1" applyBorder="1" applyAlignment="1" applyProtection="1">
      <alignment horizontal="center" vertical="center" wrapText="1"/>
      <protection hidden="1"/>
    </xf>
    <xf numFmtId="14" fontId="33" fillId="0" borderId="14" xfId="0" applyNumberFormat="1" applyFont="1" applyBorder="1" applyAlignment="1" applyProtection="1">
      <alignment horizontal="center" vertical="center" wrapText="1"/>
      <protection locked="0"/>
    </xf>
    <xf numFmtId="14" fontId="33" fillId="0" borderId="15" xfId="0" applyNumberFormat="1" applyFont="1" applyBorder="1" applyAlignment="1" applyProtection="1">
      <alignment horizontal="center" vertical="center" wrapText="1"/>
      <protection locked="0"/>
    </xf>
    <xf numFmtId="14" fontId="33" fillId="0" borderId="16" xfId="0" applyNumberFormat="1" applyFont="1" applyBorder="1" applyAlignment="1" applyProtection="1">
      <alignment horizontal="center" vertical="center" wrapText="1"/>
      <protection locked="0"/>
    </xf>
    <xf numFmtId="0" fontId="56" fillId="0" borderId="14" xfId="0" applyFont="1" applyBorder="1" applyAlignment="1" applyProtection="1">
      <alignment horizontal="center" vertical="center" wrapText="1"/>
      <protection locked="0"/>
    </xf>
    <xf numFmtId="0" fontId="56" fillId="0" borderId="15" xfId="0" applyFont="1" applyBorder="1" applyAlignment="1" applyProtection="1">
      <alignment horizontal="center" vertical="center" wrapText="1"/>
      <protection locked="0"/>
    </xf>
    <xf numFmtId="0" fontId="56" fillId="0" borderId="16" xfId="0" applyFont="1" applyBorder="1" applyAlignment="1" applyProtection="1">
      <alignment horizontal="center" vertical="center" wrapText="1"/>
      <protection locked="0"/>
    </xf>
    <xf numFmtId="0" fontId="33" fillId="0" borderId="14" xfId="0" applyFont="1" applyBorder="1" applyAlignment="1" applyProtection="1">
      <alignment horizontal="center" vertical="center" wrapText="1"/>
      <protection locked="0"/>
    </xf>
    <xf numFmtId="0" fontId="33" fillId="0" borderId="15" xfId="0" applyFont="1" applyBorder="1" applyAlignment="1" applyProtection="1">
      <alignment horizontal="center" vertical="center" wrapText="1"/>
      <protection locked="0"/>
    </xf>
    <xf numFmtId="0" fontId="33" fillId="0" borderId="16" xfId="0" applyFont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vertical="center" wrapText="1"/>
      <protection hidden="1"/>
    </xf>
    <xf numFmtId="0" fontId="36" fillId="27" borderId="11" xfId="0" applyFont="1" applyFill="1" applyBorder="1" applyAlignment="1" applyProtection="1">
      <alignment horizontal="center" vertical="center" wrapText="1"/>
      <protection hidden="1"/>
    </xf>
    <xf numFmtId="0" fontId="36" fillId="15" borderId="11" xfId="0" applyFont="1" applyFill="1" applyBorder="1" applyAlignment="1" applyProtection="1">
      <alignment horizontal="center" vertical="center" wrapText="1"/>
      <protection locked="0"/>
    </xf>
    <xf numFmtId="14" fontId="36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6" fillId="15" borderId="11" xfId="0" applyFont="1" applyFill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7" fillId="28" borderId="11" xfId="0" applyFont="1" applyFill="1" applyBorder="1" applyAlignment="1" applyProtection="1">
      <alignment horizontal="center" vertical="center" wrapText="1"/>
      <protection locked="0" hidden="1"/>
    </xf>
    <xf numFmtId="0" fontId="36" fillId="0" borderId="11" xfId="0" applyFont="1" applyBorder="1" applyAlignment="1" applyProtection="1">
      <alignment horizontal="center" vertical="center" wrapText="1"/>
      <protection hidden="1"/>
    </xf>
    <xf numFmtId="0" fontId="36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6" fillId="15" borderId="11" xfId="0" applyFont="1" applyFill="1" applyBorder="1" applyAlignment="1" applyProtection="1">
      <alignment horizontal="center" vertical="center" wrapText="1"/>
      <protection hidden="1"/>
    </xf>
    <xf numFmtId="0" fontId="36" fillId="0" borderId="11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  <xf numFmtId="0" fontId="39" fillId="0" borderId="38" xfId="0" applyFont="1" applyBorder="1" applyAlignment="1">
      <alignment horizontal="center" vertical="center" wrapText="1"/>
    </xf>
    <xf numFmtId="0" fontId="39" fillId="0" borderId="18" xfId="0" applyFont="1" applyBorder="1" applyAlignment="1">
      <alignment horizontal="center" vertical="center" wrapText="1"/>
    </xf>
    <xf numFmtId="0" fontId="39" fillId="0" borderId="19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0" xfId="0" applyFont="1" applyBorder="1" applyAlignment="1">
      <alignment horizontal="center" vertical="center" wrapText="1"/>
    </xf>
    <xf numFmtId="0" fontId="39" fillId="0" borderId="21" xfId="0" applyFont="1" applyBorder="1" applyAlignment="1">
      <alignment horizontal="center" vertical="center" wrapText="1"/>
    </xf>
    <xf numFmtId="0" fontId="39" fillId="0" borderId="12" xfId="0" applyFont="1" applyBorder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3" fillId="0" borderId="14" xfId="0" applyFont="1" applyBorder="1" applyAlignment="1" applyProtection="1">
      <alignment horizontal="center" vertical="center" wrapText="1"/>
      <protection hidden="1"/>
    </xf>
    <xf numFmtId="0" fontId="33" fillId="0" borderId="15" xfId="0" applyFont="1" applyBorder="1" applyAlignment="1" applyProtection="1">
      <alignment horizontal="center" vertical="center" wrapText="1"/>
      <protection hidden="1"/>
    </xf>
    <xf numFmtId="0" fontId="33" fillId="0" borderId="16" xfId="0" applyFont="1" applyBorder="1" applyAlignment="1" applyProtection="1">
      <alignment horizontal="center" vertical="center" wrapText="1"/>
      <protection hidden="1"/>
    </xf>
    <xf numFmtId="0" fontId="42" fillId="29" borderId="11" xfId="0" applyFont="1" applyFill="1" applyBorder="1" applyAlignment="1" applyProtection="1">
      <alignment horizontal="center" wrapText="1"/>
      <protection locked="0" hidden="1"/>
    </xf>
    <xf numFmtId="0" fontId="38" fillId="25" borderId="11" xfId="0" applyFont="1" applyFill="1" applyBorder="1" applyAlignment="1" applyProtection="1">
      <alignment horizontal="center" vertical="center" wrapText="1"/>
      <protection hidden="1"/>
    </xf>
    <xf numFmtId="0" fontId="33" fillId="27" borderId="11" xfId="0" applyFont="1" applyFill="1" applyBorder="1" applyAlignment="1" applyProtection="1">
      <alignment horizontal="center" vertical="center" wrapText="1"/>
      <protection hidden="1"/>
    </xf>
    <xf numFmtId="0" fontId="33" fillId="15" borderId="11" xfId="0" applyFont="1" applyFill="1" applyBorder="1" applyAlignment="1">
      <alignment horizontal="center" vertical="center" wrapText="1"/>
    </xf>
    <xf numFmtId="14" fontId="33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11" xfId="0" applyFont="1" applyBorder="1" applyAlignment="1">
      <alignment horizontal="center" vertical="center" wrapText="1"/>
    </xf>
    <xf numFmtId="0" fontId="38" fillId="15" borderId="11" xfId="0" applyFont="1" applyFill="1" applyBorder="1" applyAlignment="1" applyProtection="1">
      <alignment horizontal="center" vertical="center" wrapText="1"/>
      <protection hidden="1"/>
    </xf>
    <xf numFmtId="0" fontId="33" fillId="0" borderId="11" xfId="0" applyFont="1" applyBorder="1" applyAlignment="1" applyProtection="1">
      <alignment horizontal="center" vertical="center" wrapText="1"/>
      <protection hidden="1"/>
    </xf>
    <xf numFmtId="0" fontId="3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47" fillId="30" borderId="11" xfId="0" applyFont="1" applyFill="1" applyBorder="1" applyAlignment="1" applyProtection="1">
      <alignment horizontal="center" vertical="center" wrapText="1"/>
      <protection locked="0" hidden="1"/>
    </xf>
    <xf numFmtId="0" fontId="34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4" fillId="15" borderId="11" xfId="0" applyFont="1" applyFill="1" applyBorder="1" applyAlignment="1" applyProtection="1">
      <alignment horizontal="center" vertical="center" wrapText="1"/>
      <protection hidden="1"/>
    </xf>
    <xf numFmtId="0" fontId="43" fillId="0" borderId="11" xfId="0" applyFont="1" applyBorder="1" applyAlignment="1" applyProtection="1">
      <alignment horizontal="center" vertical="center" wrapText="1"/>
      <protection locked="0" hidden="1"/>
    </xf>
    <xf numFmtId="0" fontId="42" fillId="30" borderId="11" xfId="0" applyFont="1" applyFill="1" applyBorder="1" applyAlignment="1" applyProtection="1">
      <alignment horizontal="center" vertical="center" wrapText="1"/>
      <protection locked="0" hidden="1"/>
    </xf>
    <xf numFmtId="0" fontId="30" fillId="0" borderId="40" xfId="0" applyFont="1" applyBorder="1" applyAlignment="1" applyProtection="1">
      <alignment horizontal="center" vertical="center" wrapText="1"/>
      <protection hidden="1"/>
    </xf>
    <xf numFmtId="0" fontId="30" fillId="0" borderId="41" xfId="0" applyFont="1" applyBorder="1" applyAlignment="1" applyProtection="1">
      <alignment horizontal="center" vertical="center" wrapText="1"/>
      <protection hidden="1"/>
    </xf>
    <xf numFmtId="0" fontId="30" fillId="15" borderId="42" xfId="0" applyFont="1" applyFill="1" applyBorder="1" applyAlignment="1" applyProtection="1">
      <alignment horizontal="center" vertical="center" textRotation="90" wrapText="1"/>
      <protection hidden="1"/>
    </xf>
    <xf numFmtId="0" fontId="30" fillId="15" borderId="40" xfId="0" applyFont="1" applyFill="1" applyBorder="1" applyAlignment="1" applyProtection="1">
      <alignment horizontal="center" vertical="center" textRotation="90" wrapText="1"/>
      <protection hidden="1"/>
    </xf>
    <xf numFmtId="0" fontId="30" fillId="15" borderId="41" xfId="0" applyFont="1" applyFill="1" applyBorder="1" applyAlignment="1" applyProtection="1">
      <alignment horizontal="center" vertical="center" textRotation="90" wrapText="1"/>
      <protection hidden="1"/>
    </xf>
    <xf numFmtId="0" fontId="30" fillId="15" borderId="42" xfId="0" applyFont="1" applyFill="1" applyBorder="1" applyAlignment="1" applyProtection="1">
      <alignment horizontal="center" vertical="center" wrapText="1"/>
      <protection hidden="1"/>
    </xf>
    <xf numFmtId="0" fontId="30" fillId="15" borderId="40" xfId="0" applyFont="1" applyFill="1" applyBorder="1" applyAlignment="1" applyProtection="1">
      <alignment horizontal="center" vertical="center" wrapText="1"/>
      <protection hidden="1"/>
    </xf>
    <xf numFmtId="0" fontId="30" fillId="15" borderId="41" xfId="0" applyFont="1" applyFill="1" applyBorder="1" applyAlignment="1" applyProtection="1">
      <alignment horizontal="center" vertical="center" wrapText="1"/>
      <protection hidden="1"/>
    </xf>
    <xf numFmtId="0" fontId="30" fillId="0" borderId="42" xfId="0" applyFont="1" applyBorder="1" applyAlignment="1" applyProtection="1">
      <alignment horizontal="center" vertical="center" wrapText="1"/>
      <protection hidden="1"/>
    </xf>
    <xf numFmtId="0" fontId="37" fillId="31" borderId="23" xfId="0" applyFont="1" applyFill="1" applyBorder="1" applyAlignment="1" applyProtection="1">
      <alignment horizontal="center" vertical="center" wrapText="1"/>
      <protection locked="0" hidden="1"/>
    </xf>
    <xf numFmtId="0" fontId="37" fillId="31" borderId="24" xfId="0" applyFont="1" applyFill="1" applyBorder="1" applyAlignment="1" applyProtection="1">
      <alignment horizontal="center" vertical="center" wrapText="1"/>
      <protection locked="0" hidden="1"/>
    </xf>
    <xf numFmtId="0" fontId="37" fillId="31" borderId="25" xfId="0" applyFont="1" applyFill="1" applyBorder="1" applyAlignment="1" applyProtection="1">
      <alignment horizontal="center" vertical="center" wrapText="1"/>
      <protection locked="0" hidden="1"/>
    </xf>
    <xf numFmtId="0" fontId="46" fillId="31" borderId="26" xfId="0" applyFont="1" applyFill="1" applyBorder="1" applyAlignment="1">
      <alignment horizontal="center" vertical="center" wrapText="1"/>
    </xf>
    <xf numFmtId="0" fontId="46" fillId="31" borderId="27" xfId="0" applyFont="1" applyFill="1" applyBorder="1" applyAlignment="1">
      <alignment horizontal="center" vertical="center" wrapText="1"/>
    </xf>
    <xf numFmtId="0" fontId="46" fillId="31" borderId="28" xfId="0" applyFont="1" applyFill="1" applyBorder="1" applyAlignment="1">
      <alignment horizontal="center" vertical="center" wrapText="1"/>
    </xf>
    <xf numFmtId="0" fontId="34" fillId="0" borderId="23" xfId="0" applyFont="1" applyBorder="1" applyAlignment="1" applyProtection="1">
      <alignment horizontal="center" vertical="center" wrapText="1"/>
      <protection locked="0"/>
    </xf>
    <xf numFmtId="0" fontId="34" fillId="0" borderId="25" xfId="0" applyFont="1" applyBorder="1" applyAlignment="1" applyProtection="1">
      <alignment horizontal="center" vertical="center" wrapText="1"/>
      <protection locked="0"/>
    </xf>
    <xf numFmtId="0" fontId="34" fillId="0" borderId="26" xfId="0" applyFont="1" applyBorder="1" applyAlignment="1" applyProtection="1">
      <alignment horizontal="center" vertical="center" wrapText="1"/>
      <protection locked="0"/>
    </xf>
    <xf numFmtId="0" fontId="34" fillId="0" borderId="28" xfId="0" applyFont="1" applyBorder="1" applyAlignment="1" applyProtection="1">
      <alignment horizontal="center" vertical="center" wrapText="1"/>
      <protection locked="0"/>
    </xf>
    <xf numFmtId="0" fontId="34" fillId="0" borderId="29" xfId="0" applyFont="1" applyBorder="1" applyAlignment="1">
      <alignment horizontal="center" vertical="center" wrapText="1"/>
    </xf>
    <xf numFmtId="0" fontId="34" fillId="0" borderId="21" xfId="0" applyFont="1" applyBorder="1" applyAlignment="1">
      <alignment horizontal="center" vertical="center" wrapText="1"/>
    </xf>
    <xf numFmtId="0" fontId="34" fillId="15" borderId="29" xfId="0" applyFont="1" applyFill="1" applyBorder="1" applyAlignment="1">
      <alignment horizontal="center" vertical="center" wrapText="1"/>
    </xf>
    <xf numFmtId="0" fontId="34" fillId="15" borderId="30" xfId="0" applyFont="1" applyFill="1" applyBorder="1" applyAlignment="1">
      <alignment horizontal="center" vertical="center" wrapText="1"/>
    </xf>
    <xf numFmtId="0" fontId="34" fillId="15" borderId="12" xfId="0" applyFont="1" applyFill="1" applyBorder="1" applyAlignment="1">
      <alignment horizontal="center" vertical="center" wrapText="1"/>
    </xf>
    <xf numFmtId="0" fontId="34" fillId="0" borderId="29" xfId="0" applyFont="1" applyBorder="1" applyAlignment="1" applyProtection="1">
      <alignment horizontal="center" vertical="center" wrapText="1"/>
      <protection locked="0"/>
    </xf>
    <xf numFmtId="0" fontId="34" fillId="0" borderId="13" xfId="0" applyFont="1" applyBorder="1" applyAlignment="1" applyProtection="1">
      <alignment horizontal="center" vertical="center" wrapText="1"/>
      <protection locked="0"/>
    </xf>
    <xf numFmtId="0" fontId="34" fillId="0" borderId="30" xfId="0" applyFont="1" applyBorder="1" applyAlignment="1" applyProtection="1">
      <alignment horizontal="center" vertical="center" wrapText="1"/>
      <protection locked="0"/>
    </xf>
    <xf numFmtId="0" fontId="34" fillId="0" borderId="31" xfId="0" applyFont="1" applyBorder="1" applyAlignment="1" applyProtection="1">
      <alignment horizontal="center" vertical="center" wrapText="1"/>
      <protection hidden="1"/>
    </xf>
    <xf numFmtId="0" fontId="34" fillId="0" borderId="32" xfId="0" applyFont="1" applyBorder="1" applyAlignment="1" applyProtection="1">
      <alignment horizontal="center" vertical="center" wrapText="1"/>
      <protection hidden="1"/>
    </xf>
    <xf numFmtId="0" fontId="44" fillId="0" borderId="33" xfId="0" applyFont="1" applyBorder="1" applyAlignment="1">
      <alignment horizontal="center" vertical="center" wrapText="1"/>
    </xf>
    <xf numFmtId="0" fontId="44" fillId="0" borderId="14" xfId="0" applyFont="1" applyBorder="1" applyAlignment="1">
      <alignment horizontal="center" vertical="center" wrapText="1"/>
    </xf>
    <xf numFmtId="14" fontId="34" fillId="15" borderId="33" xfId="0" applyNumberFormat="1" applyFont="1" applyFill="1" applyBorder="1" applyAlignment="1" applyProtection="1">
      <alignment horizontal="center" vertical="center" wrapText="1"/>
      <protection locked="0"/>
    </xf>
    <xf numFmtId="14" fontId="34" fillId="15" borderId="34" xfId="0" applyNumberFormat="1" applyFont="1" applyFill="1" applyBorder="1" applyAlignment="1" applyProtection="1">
      <alignment horizontal="center" vertical="center" wrapText="1"/>
      <protection locked="0"/>
    </xf>
    <xf numFmtId="0" fontId="34" fillId="15" borderId="15" xfId="0" applyFont="1" applyFill="1" applyBorder="1" applyAlignment="1" applyProtection="1">
      <alignment horizontal="center" vertical="center" wrapText="1"/>
      <protection locked="0"/>
    </xf>
    <xf numFmtId="0" fontId="34" fillId="0" borderId="33" xfId="0" applyFont="1" applyBorder="1" applyAlignment="1" applyProtection="1">
      <alignment horizontal="center" vertical="center" wrapText="1"/>
      <protection locked="0"/>
    </xf>
    <xf numFmtId="0" fontId="34" fillId="0" borderId="34" xfId="0" applyFont="1" applyBorder="1" applyAlignment="1" applyProtection="1">
      <alignment horizontal="center" vertical="center" wrapText="1"/>
      <protection locked="0"/>
    </xf>
    <xf numFmtId="0" fontId="43" fillId="0" borderId="35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 wrapText="1"/>
    </xf>
    <xf numFmtId="14" fontId="34" fillId="15" borderId="36" xfId="0" applyNumberFormat="1" applyFont="1" applyFill="1" applyBorder="1" applyAlignment="1" applyProtection="1">
      <alignment horizontal="center" vertical="center" wrapText="1"/>
      <protection locked="0"/>
    </xf>
    <xf numFmtId="14" fontId="34" fillId="15" borderId="37" xfId="0" applyNumberFormat="1" applyFont="1" applyFill="1" applyBorder="1" applyAlignment="1" applyProtection="1">
      <alignment horizontal="center" vertical="center" wrapText="1"/>
      <protection locked="0"/>
    </xf>
    <xf numFmtId="0" fontId="34" fillId="15" borderId="38" xfId="0" applyFont="1" applyFill="1" applyBorder="1" applyAlignment="1" applyProtection="1">
      <alignment horizontal="center" vertical="center" wrapText="1"/>
      <protection locked="0"/>
    </xf>
    <xf numFmtId="0" fontId="34" fillId="0" borderId="36" xfId="0" applyFont="1" applyBorder="1" applyAlignment="1" applyProtection="1">
      <alignment horizontal="center" vertical="center" wrapText="1"/>
      <protection locked="0"/>
    </xf>
    <xf numFmtId="0" fontId="34" fillId="0" borderId="39" xfId="0" applyFont="1" applyBorder="1" applyAlignment="1" applyProtection="1">
      <alignment horizontal="center" vertical="center" wrapText="1"/>
      <protection locked="0"/>
    </xf>
    <xf numFmtId="0" fontId="34" fillId="0" borderId="37" xfId="0" applyFont="1" applyBorder="1" applyAlignment="1" applyProtection="1">
      <alignment horizontal="center" vertical="center" wrapText="1"/>
      <protection locked="0"/>
    </xf>
    <xf numFmtId="0" fontId="49" fillId="32" borderId="0" xfId="71" applyFont="1" applyFill="1" applyAlignment="1">
      <alignment horizontal="center" vertical="center" wrapText="1"/>
    </xf>
    <xf numFmtId="0" fontId="45" fillId="32" borderId="0" xfId="71" applyFont="1" applyFill="1" applyAlignment="1">
      <alignment horizontal="center" vertical="center" wrapText="1"/>
    </xf>
    <xf numFmtId="0" fontId="45" fillId="32" borderId="0" xfId="71" applyFont="1" applyFill="1" applyAlignment="1">
      <alignment horizontal="center" vertical="center"/>
    </xf>
    <xf numFmtId="14" fontId="34" fillId="0" borderId="11" xfId="0" applyNumberFormat="1" applyFont="1" applyBorder="1" applyAlignment="1" applyProtection="1">
      <alignment horizontal="center" vertical="center" wrapText="1"/>
      <protection locked="0"/>
    </xf>
  </cellXfs>
  <cellStyles count="89">
    <cellStyle name="Accent1" xfId="6" xr:uid="{00000000-0005-0000-0000-000006000000}"/>
    <cellStyle name="Accent1 - 20%" xfId="7" xr:uid="{00000000-0005-0000-0000-000007000000}"/>
    <cellStyle name="Accent1 - 40%" xfId="8" xr:uid="{00000000-0005-0000-0000-000008000000}"/>
    <cellStyle name="Accent1 - 60%" xfId="9" xr:uid="{00000000-0005-0000-0000-000009000000}"/>
    <cellStyle name="Accent2" xfId="10" xr:uid="{00000000-0005-0000-0000-00000A000000}"/>
    <cellStyle name="Accent2 - 20%" xfId="11" xr:uid="{00000000-0005-0000-0000-00000B000000}"/>
    <cellStyle name="Accent2 - 40%" xfId="12" xr:uid="{00000000-0005-0000-0000-00000C000000}"/>
    <cellStyle name="Accent2 - 60%" xfId="13" xr:uid="{00000000-0005-0000-0000-00000D000000}"/>
    <cellStyle name="Accent3" xfId="14" xr:uid="{00000000-0005-0000-0000-00000E000000}"/>
    <cellStyle name="Accent3 - 20%" xfId="15" xr:uid="{00000000-0005-0000-0000-00000F000000}"/>
    <cellStyle name="Accent3 - 40%" xfId="16" xr:uid="{00000000-0005-0000-0000-000010000000}"/>
    <cellStyle name="Accent3 - 60%" xfId="17" xr:uid="{00000000-0005-0000-0000-000011000000}"/>
    <cellStyle name="Accent4" xfId="18" xr:uid="{00000000-0005-0000-0000-000012000000}"/>
    <cellStyle name="Accent4 - 20%" xfId="19" xr:uid="{00000000-0005-0000-0000-000013000000}"/>
    <cellStyle name="Accent4 - 40%" xfId="20" xr:uid="{00000000-0005-0000-0000-000014000000}"/>
    <cellStyle name="Accent4 - 60%" xfId="21" xr:uid="{00000000-0005-0000-0000-000015000000}"/>
    <cellStyle name="Accent5" xfId="22" xr:uid="{00000000-0005-0000-0000-000016000000}"/>
    <cellStyle name="Accent5 - 20%" xfId="23" xr:uid="{00000000-0005-0000-0000-000017000000}"/>
    <cellStyle name="Accent5 - 40%" xfId="24" xr:uid="{00000000-0005-0000-0000-000018000000}"/>
    <cellStyle name="Accent5 - 60%" xfId="25" xr:uid="{00000000-0005-0000-0000-000019000000}"/>
    <cellStyle name="Accent6" xfId="26" xr:uid="{00000000-0005-0000-0000-00001A000000}"/>
    <cellStyle name="Accent6 - 20%" xfId="27" xr:uid="{00000000-0005-0000-0000-00001B000000}"/>
    <cellStyle name="Accent6 - 40%" xfId="28" xr:uid="{00000000-0005-0000-0000-00001C000000}"/>
    <cellStyle name="Accent6 - 60%" xfId="29" xr:uid="{00000000-0005-0000-0000-00001D000000}"/>
    <cellStyle name="Bad" xfId="30" xr:uid="{00000000-0005-0000-0000-00001E000000}"/>
    <cellStyle name="Bad 2" xfId="59" xr:uid="{00000000-0005-0000-0000-00003B000000}"/>
    <cellStyle name="Calculation" xfId="31" xr:uid="{00000000-0005-0000-0000-00001F000000}"/>
    <cellStyle name="Check Cell" xfId="32" xr:uid="{00000000-0005-0000-0000-000020000000}"/>
    <cellStyle name="Comma" xfId="4" xr:uid="{00000000-0005-0000-0000-000004000000}"/>
    <cellStyle name="Comma [0]" xfId="5" xr:uid="{00000000-0005-0000-0000-000005000000}"/>
    <cellStyle name="Comma [0] 2" xfId="33" xr:uid="{00000000-0005-0000-0000-000021000000}"/>
    <cellStyle name="Comma 2" xfId="34" xr:uid="{00000000-0005-0000-0000-000022000000}"/>
    <cellStyle name="Comma 3" xfId="35" xr:uid="{00000000-0005-0000-0000-000023000000}"/>
    <cellStyle name="Currency" xfId="2" xr:uid="{00000000-0005-0000-0000-000002000000}"/>
    <cellStyle name="Currency [0]" xfId="3" xr:uid="{00000000-0005-0000-0000-000003000000}"/>
    <cellStyle name="Currency [0] 2" xfId="36" xr:uid="{00000000-0005-0000-0000-000024000000}"/>
    <cellStyle name="Currency 2" xfId="37" xr:uid="{00000000-0005-0000-0000-000025000000}"/>
    <cellStyle name="Currency 3" xfId="38" xr:uid="{00000000-0005-0000-0000-000026000000}"/>
    <cellStyle name="Emphasis 1" xfId="39" xr:uid="{00000000-0005-0000-0000-000027000000}"/>
    <cellStyle name="Emphasis 2" xfId="40" xr:uid="{00000000-0005-0000-0000-000028000000}"/>
    <cellStyle name="Emphasis 3" xfId="41" xr:uid="{00000000-0005-0000-0000-000029000000}"/>
    <cellStyle name="Followed Hyperlink" xfId="60" xr:uid="{00000000-0005-0000-0000-00003C000000}"/>
    <cellStyle name="Good" xfId="42" xr:uid="{00000000-0005-0000-0000-00002A000000}"/>
    <cellStyle name="Heading 1" xfId="43" xr:uid="{00000000-0005-0000-0000-00002B000000}"/>
    <cellStyle name="Heading 2" xfId="44" xr:uid="{00000000-0005-0000-0000-00002C000000}"/>
    <cellStyle name="Heading 3" xfId="45" xr:uid="{00000000-0005-0000-0000-00002D000000}"/>
    <cellStyle name="Heading 4" xfId="46" xr:uid="{00000000-0005-0000-0000-00002E000000}"/>
    <cellStyle name="Hyperlink 2" xfId="58" xr:uid="{00000000-0005-0000-0000-00003A000000}"/>
    <cellStyle name="Input" xfId="47" xr:uid="{00000000-0005-0000-0000-00002F000000}"/>
    <cellStyle name="Input 2" xfId="61" xr:uid="{00000000-0005-0000-0000-00003D000000}"/>
    <cellStyle name="Linked Cell" xfId="48" xr:uid="{00000000-0005-0000-0000-000030000000}"/>
    <cellStyle name="Neutral" xfId="49" xr:uid="{00000000-0005-0000-0000-000031000000}"/>
    <cellStyle name="Normal" xfId="0" builtinId="0"/>
    <cellStyle name="Normal 2" xfId="50" xr:uid="{00000000-0005-0000-0000-000032000000}"/>
    <cellStyle name="Normal 2 2" xfId="62" xr:uid="{00000000-0005-0000-0000-00003E000000}"/>
    <cellStyle name="Normal 2 3" xfId="63" xr:uid="{00000000-0005-0000-0000-00003F000000}"/>
    <cellStyle name="Normal 2 3 2" xfId="74" xr:uid="{00000000-0005-0000-0000-00004A000000}"/>
    <cellStyle name="Normal 2 3 2 2" xfId="86" xr:uid="{00000000-0005-0000-0000-000056000000}"/>
    <cellStyle name="Normal 2 3 3" xfId="82" xr:uid="{00000000-0005-0000-0000-000052000000}"/>
    <cellStyle name="Normal 2 3 4" xfId="78" xr:uid="{00000000-0005-0000-0000-00004E000000}"/>
    <cellStyle name="Normal 2_Components" xfId="64" xr:uid="{00000000-0005-0000-0000-000040000000}"/>
    <cellStyle name="Normal 3" xfId="51" xr:uid="{00000000-0005-0000-0000-000033000000}"/>
    <cellStyle name="Normal 3 2" xfId="65" xr:uid="{00000000-0005-0000-0000-000041000000}"/>
    <cellStyle name="Normal 3 3" xfId="72" xr:uid="{00000000-0005-0000-0000-000048000000}"/>
    <cellStyle name="Normal 3 3 2" xfId="76" xr:uid="{00000000-0005-0000-0000-00004C000000}"/>
    <cellStyle name="Normal 3 3 2 2" xfId="88" xr:uid="{00000000-0005-0000-0000-000058000000}"/>
    <cellStyle name="Normal 3 3 3" xfId="84" xr:uid="{00000000-0005-0000-0000-000054000000}"/>
    <cellStyle name="Normal 3 3 4" xfId="80" xr:uid="{00000000-0005-0000-0000-000050000000}"/>
    <cellStyle name="Normal 3 4" xfId="73" xr:uid="{00000000-0005-0000-0000-000049000000}"/>
    <cellStyle name="Normal 3 4 2" xfId="85" xr:uid="{00000000-0005-0000-0000-000055000000}"/>
    <cellStyle name="Normal 3 5" xfId="81" xr:uid="{00000000-0005-0000-0000-000051000000}"/>
    <cellStyle name="Normal 3 6" xfId="77" xr:uid="{00000000-0005-0000-0000-00004D000000}"/>
    <cellStyle name="Normal 3_Components" xfId="66" xr:uid="{00000000-0005-0000-0000-000042000000}"/>
    <cellStyle name="Normal 4" xfId="67" xr:uid="{00000000-0005-0000-0000-000043000000}"/>
    <cellStyle name="Normal 5" xfId="68" xr:uid="{00000000-0005-0000-0000-000044000000}"/>
    <cellStyle name="Normal 6" xfId="69" xr:uid="{00000000-0005-0000-0000-000045000000}"/>
    <cellStyle name="Normal 7" xfId="70" xr:uid="{00000000-0005-0000-0000-000046000000}"/>
    <cellStyle name="Normal 8" xfId="71" xr:uid="{00000000-0005-0000-0000-000047000000}"/>
    <cellStyle name="Normal 8 2" xfId="75" xr:uid="{00000000-0005-0000-0000-00004B000000}"/>
    <cellStyle name="Normal 8 2 2" xfId="87" xr:uid="{00000000-0005-0000-0000-000057000000}"/>
    <cellStyle name="Normal 8 3" xfId="83" xr:uid="{00000000-0005-0000-0000-000053000000}"/>
    <cellStyle name="Normal 8 4" xfId="79" xr:uid="{00000000-0005-0000-0000-00004F000000}"/>
    <cellStyle name="Note" xfId="52" xr:uid="{00000000-0005-0000-0000-000034000000}"/>
    <cellStyle name="Output" xfId="53" xr:uid="{00000000-0005-0000-0000-000035000000}"/>
    <cellStyle name="Percent" xfId="1" xr:uid="{00000000-0005-0000-0000-000001000000}"/>
    <cellStyle name="Percent 2" xfId="54" xr:uid="{00000000-0005-0000-0000-000036000000}"/>
    <cellStyle name="Sheet Title" xfId="55" xr:uid="{00000000-0005-0000-0000-000037000000}"/>
    <cellStyle name="Total" xfId="56" xr:uid="{00000000-0005-0000-0000-000038000000}"/>
    <cellStyle name="Warning Text" xfId="57" xr:uid="{00000000-0005-0000-0000-000039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32"/>
  <sheetViews>
    <sheetView workbookViewId="0">
      <selection activeCell="AV11" sqref="AV11:XFD1048576"/>
    </sheetView>
  </sheetViews>
  <sheetFormatPr defaultColWidth="9.44140625" defaultRowHeight="13.2"/>
  <cols>
    <col min="1" max="1" width="27.109375" customWidth="1"/>
    <col min="4" max="4" width="13.5546875" customWidth="1"/>
    <col min="5" max="5" width="14.44140625" bestFit="1" customWidth="1"/>
    <col min="6" max="6" width="17.5546875" bestFit="1" customWidth="1"/>
    <col min="8" max="47" width="9.44140625" hidden="1" customWidth="1"/>
    <col min="48" max="49" width="11" customWidth="1"/>
    <col min="50" max="50" width="18.44140625" customWidth="1"/>
    <col min="51" max="51" width="15.44140625" customWidth="1"/>
    <col min="52" max="52" width="14.44140625" customWidth="1"/>
    <col min="53" max="53" width="10.44140625" bestFit="1" customWidth="1"/>
    <col min="54" max="54" width="11.5546875" bestFit="1" customWidth="1"/>
    <col min="55" max="55" width="20.5546875" customWidth="1"/>
    <col min="56" max="56" width="47.44140625" customWidth="1"/>
    <col min="57" max="57" width="8.44140625" bestFit="1" customWidth="1"/>
    <col min="58" max="58" width="16.5546875" customWidth="1"/>
    <col min="59" max="59" width="61" bestFit="1" customWidth="1"/>
    <col min="60" max="60" width="11.44140625" customWidth="1"/>
    <col min="61" max="61" width="9" customWidth="1"/>
    <col min="62" max="62" width="42.5546875" bestFit="1" customWidth="1"/>
    <col min="63" max="63" width="23.5546875" customWidth="1"/>
    <col min="64" max="64" width="29.44140625" customWidth="1"/>
    <col min="65" max="65" width="16.5546875" bestFit="1" customWidth="1"/>
    <col min="66" max="66" width="20.109375" bestFit="1" customWidth="1"/>
    <col min="67" max="67" width="22.44140625" bestFit="1" customWidth="1"/>
    <col min="68" max="68" width="17" bestFit="1" customWidth="1"/>
    <col min="69" max="69" width="14.5546875" customWidth="1"/>
    <col min="71" max="71" width="16.5546875" customWidth="1"/>
    <col min="72" max="72" width="21" customWidth="1"/>
    <col min="74" max="74" width="9.44140625" customWidth="1"/>
    <col min="75" max="75" width="12.5546875" customWidth="1"/>
    <col min="76" max="76" width="14.44140625" customWidth="1"/>
    <col min="77" max="77" width="15.5546875" customWidth="1"/>
    <col min="78" max="78" width="7.5546875" customWidth="1"/>
    <col min="79" max="79" width="10" bestFit="1" customWidth="1"/>
    <col min="80" max="80" width="6.5546875" customWidth="1"/>
    <col min="81" max="81" width="13.44140625" customWidth="1"/>
    <col min="82" max="83" width="12.5546875" customWidth="1"/>
    <col min="84" max="84" width="17.44140625" customWidth="1"/>
    <col min="85" max="85" width="11.44140625" customWidth="1"/>
    <col min="86" max="86" width="13.5546875" customWidth="1"/>
    <col min="87" max="87" width="16.44140625" customWidth="1"/>
    <col min="88" max="88" width="29" bestFit="1" customWidth="1"/>
    <col min="89" max="89" width="13.5546875" style="60" bestFit="1" customWidth="1"/>
    <col min="90" max="90" width="12.5546875" customWidth="1"/>
    <col min="91" max="91" width="17.5546875" customWidth="1"/>
    <col min="92" max="92" width="16.44140625" bestFit="1" customWidth="1"/>
    <col min="93" max="93" width="7.5546875" customWidth="1"/>
    <col min="94" max="94" width="15" customWidth="1"/>
    <col min="95" max="95" width="12" customWidth="1"/>
    <col min="96" max="97" width="11.44140625" customWidth="1"/>
    <col min="98" max="98" width="9.5546875" bestFit="1" customWidth="1"/>
    <col min="99" max="99" width="12.5546875" customWidth="1"/>
    <col min="100" max="100" width="13.44140625" customWidth="1"/>
    <col min="101" max="101" width="11.44140625" customWidth="1"/>
    <col min="102" max="102" width="13" customWidth="1"/>
    <col min="103" max="103" width="13.5546875" customWidth="1"/>
    <col min="104" max="104" width="7.44140625" customWidth="1"/>
    <col min="105" max="105" width="12.5546875" customWidth="1"/>
    <col min="106" max="106" width="12.44140625" customWidth="1"/>
    <col min="107" max="107" width="9.5546875" bestFit="1" customWidth="1"/>
    <col min="108" max="108" width="11.44140625" customWidth="1"/>
    <col min="109" max="110" width="12.44140625" customWidth="1"/>
    <col min="111" max="111" width="7.44140625" customWidth="1"/>
    <col min="112" max="112" width="8.44140625" customWidth="1"/>
    <col min="113" max="113" width="13.5546875" customWidth="1"/>
  </cols>
  <sheetData>
    <row r="1" spans="1:127" ht="26.4">
      <c r="AV1" s="29"/>
      <c r="AW1" s="29"/>
      <c r="AX1" s="33" t="s">
        <v>295</v>
      </c>
      <c r="AY1" s="30"/>
      <c r="AZ1" s="30" t="s">
        <v>18</v>
      </c>
      <c r="BA1" s="32" t="s">
        <v>25</v>
      </c>
      <c r="BB1" s="30"/>
      <c r="BC1" s="30"/>
      <c r="BD1" s="30"/>
      <c r="BE1" s="30"/>
      <c r="BF1" s="30"/>
      <c r="BG1" s="30" t="s">
        <v>12</v>
      </c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55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</row>
    <row r="2" spans="1:127">
      <c r="AV2" s="31"/>
      <c r="AW2" s="31"/>
      <c r="AX2" s="31"/>
      <c r="AY2" s="32"/>
      <c r="AZ2" s="30" t="s">
        <v>16</v>
      </c>
      <c r="BA2" s="34">
        <v>20</v>
      </c>
      <c r="BB2" s="30" t="s">
        <v>28</v>
      </c>
      <c r="BC2" s="30"/>
      <c r="BD2" s="30"/>
      <c r="BE2" s="30"/>
      <c r="BF2" s="30"/>
      <c r="BG2" s="30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56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</row>
    <row r="3" spans="1:127">
      <c r="AV3" s="31" t="s">
        <v>27</v>
      </c>
      <c r="AW3" s="31"/>
      <c r="AX3" s="31"/>
      <c r="AY3" s="32"/>
      <c r="AZ3" s="32" t="s">
        <v>19</v>
      </c>
      <c r="BA3" s="32" t="s">
        <v>20</v>
      </c>
      <c r="BB3" s="32"/>
      <c r="BC3" s="32"/>
      <c r="BD3" s="30"/>
      <c r="BE3" s="30"/>
      <c r="BF3" s="30"/>
      <c r="BG3" s="30"/>
      <c r="BO3" s="32"/>
      <c r="BP3" s="32"/>
      <c r="BQ3" s="32"/>
      <c r="BR3" s="32"/>
      <c r="BS3" s="32"/>
      <c r="BT3" s="32"/>
      <c r="BU3" s="32"/>
      <c r="BV3" s="32"/>
      <c r="BW3" s="32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56"/>
      <c r="CL3" s="32"/>
      <c r="CM3" s="32"/>
      <c r="CN3" s="32"/>
      <c r="CO3" s="32"/>
      <c r="CP3" s="32"/>
      <c r="CQ3" s="32"/>
      <c r="CR3" s="32"/>
      <c r="CS3" s="32"/>
      <c r="CT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  <c r="DL3" s="32"/>
      <c r="DM3" s="32"/>
      <c r="DN3" s="32"/>
      <c r="DO3" s="32"/>
      <c r="DP3" s="32"/>
      <c r="DQ3" s="32"/>
      <c r="DR3" s="32"/>
      <c r="DS3" s="32"/>
    </row>
    <row r="4" spans="1:127">
      <c r="AV4" s="26" t="s">
        <v>0</v>
      </c>
      <c r="AW4" s="26" t="s">
        <v>21</v>
      </c>
      <c r="AX4" s="26" t="s">
        <v>1</v>
      </c>
      <c r="AY4" s="26" t="s">
        <v>2</v>
      </c>
      <c r="AZ4" s="26" t="s">
        <v>24</v>
      </c>
      <c r="BA4" s="26" t="s">
        <v>22</v>
      </c>
      <c r="BB4" s="23" t="s">
        <v>29</v>
      </c>
      <c r="BC4" s="23" t="s">
        <v>3</v>
      </c>
      <c r="BD4" s="23" t="s">
        <v>30</v>
      </c>
      <c r="BE4" s="23" t="s">
        <v>31</v>
      </c>
      <c r="BF4" s="23" t="s">
        <v>32</v>
      </c>
      <c r="BG4" s="23" t="s">
        <v>6</v>
      </c>
      <c r="BH4" s="23" t="s">
        <v>33</v>
      </c>
      <c r="BI4" s="23" t="s">
        <v>34</v>
      </c>
      <c r="BJ4" s="23" t="s">
        <v>35</v>
      </c>
      <c r="BK4" s="23" t="s">
        <v>36</v>
      </c>
      <c r="BL4" s="23" t="s">
        <v>37</v>
      </c>
      <c r="BM4" s="23" t="s">
        <v>38</v>
      </c>
      <c r="BN4" s="23" t="s">
        <v>39</v>
      </c>
      <c r="BO4" s="26" t="s">
        <v>40</v>
      </c>
      <c r="BP4" s="26" t="s">
        <v>41</v>
      </c>
      <c r="BQ4" s="26" t="s">
        <v>26</v>
      </c>
      <c r="BR4" s="26" t="s">
        <v>42</v>
      </c>
      <c r="BS4" s="21" t="s">
        <v>43</v>
      </c>
      <c r="BT4" s="21" t="s">
        <v>44</v>
      </c>
      <c r="BU4" s="21" t="s">
        <v>45</v>
      </c>
      <c r="BV4" s="21" t="s">
        <v>46</v>
      </c>
      <c r="BW4" s="21" t="s">
        <v>47</v>
      </c>
      <c r="BX4" s="21" t="s">
        <v>48</v>
      </c>
      <c r="BY4" s="21" t="s">
        <v>49</v>
      </c>
      <c r="BZ4" s="21" t="s">
        <v>50</v>
      </c>
      <c r="CA4" s="21" t="s">
        <v>51</v>
      </c>
      <c r="CB4" s="21" t="s">
        <v>52</v>
      </c>
      <c r="CC4" s="21" t="s">
        <v>53</v>
      </c>
      <c r="CD4" s="21" t="s">
        <v>54</v>
      </c>
      <c r="CE4" s="21" t="s">
        <v>55</v>
      </c>
      <c r="CF4" s="21" t="s">
        <v>56</v>
      </c>
      <c r="CG4" s="21"/>
      <c r="CH4" s="21" t="s">
        <v>57</v>
      </c>
      <c r="CI4" s="21" t="s">
        <v>58</v>
      </c>
      <c r="CJ4" s="21" t="s">
        <v>59</v>
      </c>
      <c r="CK4" s="57" t="s">
        <v>60</v>
      </c>
      <c r="CL4" s="21" t="s">
        <v>61</v>
      </c>
      <c r="CM4" s="21" t="s">
        <v>62</v>
      </c>
      <c r="CN4" s="21" t="s">
        <v>63</v>
      </c>
      <c r="CO4" s="21" t="s">
        <v>64</v>
      </c>
      <c r="CP4" s="21" t="s">
        <v>65</v>
      </c>
      <c r="CQ4" s="21" t="s">
        <v>66</v>
      </c>
      <c r="CR4" s="21" t="s">
        <v>67</v>
      </c>
      <c r="CS4" s="21" t="s">
        <v>68</v>
      </c>
      <c r="CT4" s="21" t="s">
        <v>69</v>
      </c>
      <c r="CU4" s="21" t="s">
        <v>70</v>
      </c>
      <c r="CV4" s="21" t="s">
        <v>71</v>
      </c>
      <c r="CW4" s="21" t="s">
        <v>72</v>
      </c>
      <c r="CX4" s="21" t="s">
        <v>73</v>
      </c>
      <c r="CY4" s="21" t="s">
        <v>74</v>
      </c>
      <c r="CZ4" s="21" t="s">
        <v>75</v>
      </c>
      <c r="DA4" s="21" t="s">
        <v>76</v>
      </c>
      <c r="DB4" s="21" t="s">
        <v>77</v>
      </c>
      <c r="DC4" s="21" t="s">
        <v>78</v>
      </c>
      <c r="DD4" s="21" t="s">
        <v>79</v>
      </c>
      <c r="DE4" s="21" t="s">
        <v>80</v>
      </c>
      <c r="DF4" s="21" t="s">
        <v>81</v>
      </c>
      <c r="DG4" s="21" t="s">
        <v>82</v>
      </c>
      <c r="DH4" s="21" t="s">
        <v>83</v>
      </c>
      <c r="DI4" s="21" t="s">
        <v>84</v>
      </c>
      <c r="DJ4" s="21" t="s">
        <v>85</v>
      </c>
      <c r="DK4" s="21" t="s">
        <v>86</v>
      </c>
      <c r="DL4" s="21" t="s">
        <v>87</v>
      </c>
      <c r="DM4" s="21" t="s">
        <v>88</v>
      </c>
      <c r="DN4" s="21" t="s">
        <v>89</v>
      </c>
      <c r="DO4" s="21" t="s">
        <v>90</v>
      </c>
      <c r="DP4" s="21" t="s">
        <v>91</v>
      </c>
      <c r="DQ4" s="21" t="s">
        <v>92</v>
      </c>
      <c r="DR4" s="21" t="s">
        <v>93</v>
      </c>
      <c r="DS4" s="21" t="s">
        <v>94</v>
      </c>
      <c r="DT4" t="s">
        <v>140</v>
      </c>
      <c r="DU4" t="s">
        <v>171</v>
      </c>
      <c r="DV4" t="s">
        <v>245</v>
      </c>
      <c r="DW4" t="s">
        <v>246</v>
      </c>
    </row>
    <row r="5" spans="1:127" ht="17.399999999999999">
      <c r="A5" s="14" t="s">
        <v>126</v>
      </c>
      <c r="B5" s="14"/>
      <c r="C5" s="14"/>
      <c r="D5" s="14"/>
      <c r="E5" s="14"/>
      <c r="F5" s="14"/>
      <c r="AW5" s="27"/>
      <c r="AX5" s="27"/>
      <c r="AY5" s="27"/>
      <c r="AZ5" s="27"/>
      <c r="BA5" s="27"/>
      <c r="BC5" s="27"/>
      <c r="BD5" s="27"/>
      <c r="BO5" s="21"/>
      <c r="BP5" s="25"/>
      <c r="BQ5" s="25"/>
      <c r="BR5" s="25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57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</row>
    <row r="6" spans="1:127">
      <c r="A6" s="36" t="s">
        <v>127</v>
      </c>
      <c r="B6" s="36" t="s">
        <v>128</v>
      </c>
      <c r="C6" s="36" t="s">
        <v>129</v>
      </c>
      <c r="D6" s="36" t="s">
        <v>130</v>
      </c>
      <c r="E6" s="36" t="s">
        <v>131</v>
      </c>
      <c r="F6" s="36" t="s">
        <v>132</v>
      </c>
      <c r="AV6" s="21"/>
      <c r="AW6" s="21"/>
      <c r="AX6" s="21"/>
      <c r="AY6" s="25"/>
      <c r="AZ6" s="25"/>
      <c r="BA6" s="21"/>
      <c r="BO6" s="21"/>
      <c r="BP6" s="21"/>
      <c r="BQ6" s="21"/>
      <c r="BR6" s="21"/>
      <c r="BS6" s="21"/>
      <c r="BT6" s="25"/>
      <c r="BU6" s="25"/>
      <c r="BV6" s="25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57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</row>
    <row r="7" spans="1:127">
      <c r="A7" s="42" t="s">
        <v>133</v>
      </c>
      <c r="B7" s="42">
        <v>12</v>
      </c>
      <c r="C7" s="42">
        <v>21</v>
      </c>
      <c r="D7" s="42" t="s">
        <v>2128</v>
      </c>
      <c r="E7" s="42" t="b">
        <v>1</v>
      </c>
      <c r="F7" s="42">
        <v>1</v>
      </c>
      <c r="AV7" s="21"/>
      <c r="AW7" s="21"/>
      <c r="AX7" s="21"/>
      <c r="AY7" s="21"/>
      <c r="AZ7" s="21"/>
      <c r="BA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57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</row>
    <row r="8" spans="1:127">
      <c r="A8" s="42" t="s">
        <v>155</v>
      </c>
      <c r="B8" s="42">
        <v>11</v>
      </c>
      <c r="C8" s="42">
        <v>20</v>
      </c>
      <c r="D8" s="42" t="s">
        <v>2110</v>
      </c>
      <c r="E8" s="42" t="b">
        <v>1</v>
      </c>
      <c r="F8" s="42">
        <v>1</v>
      </c>
      <c r="AV8" s="21"/>
      <c r="AW8" s="21"/>
      <c r="AX8" s="21"/>
      <c r="AY8" s="21"/>
      <c r="AZ8" s="21"/>
      <c r="BA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57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</row>
    <row r="9" spans="1:127">
      <c r="A9" s="42" t="s">
        <v>156</v>
      </c>
      <c r="B9" s="42">
        <v>12</v>
      </c>
      <c r="C9" s="42">
        <v>21</v>
      </c>
      <c r="D9" s="42" t="s">
        <v>291</v>
      </c>
      <c r="E9" s="42" t="b">
        <v>1</v>
      </c>
      <c r="F9" s="42">
        <v>1</v>
      </c>
      <c r="AV9" s="21"/>
      <c r="AW9" s="21"/>
      <c r="AX9" s="21"/>
      <c r="AY9" s="21"/>
      <c r="AZ9" s="21"/>
      <c r="BA9" s="21"/>
      <c r="BP9" s="21"/>
      <c r="BQ9" s="21"/>
      <c r="BR9" s="21"/>
      <c r="BS9" s="21"/>
      <c r="BT9" s="21"/>
      <c r="BU9" s="21"/>
      <c r="BV9" s="21"/>
      <c r="BW9" s="21"/>
      <c r="BX9" s="22"/>
      <c r="BY9" s="22"/>
      <c r="BZ9" s="22"/>
      <c r="CA9" s="22"/>
      <c r="CB9" s="21"/>
      <c r="CC9" s="21"/>
      <c r="CD9" s="21"/>
      <c r="CE9" s="21"/>
      <c r="CF9" s="21"/>
      <c r="CG9" s="21"/>
      <c r="CH9" s="21"/>
      <c r="CI9" s="21"/>
      <c r="CJ9" s="21"/>
      <c r="CK9" s="57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</row>
    <row r="10" spans="1:127">
      <c r="A10" s="42" t="s">
        <v>159</v>
      </c>
      <c r="B10" s="42">
        <v>12</v>
      </c>
      <c r="C10" s="42">
        <v>21</v>
      </c>
      <c r="D10" s="42" t="s">
        <v>167</v>
      </c>
      <c r="E10" s="42" t="b">
        <v>1</v>
      </c>
      <c r="F10" s="42">
        <v>1</v>
      </c>
      <c r="AV10" s="23" t="s">
        <v>0</v>
      </c>
      <c r="AW10" s="23" t="s">
        <v>15</v>
      </c>
      <c r="AX10" s="23" t="s">
        <v>95</v>
      </c>
      <c r="AY10" s="23" t="s">
        <v>1</v>
      </c>
      <c r="AZ10" s="23" t="s">
        <v>96</v>
      </c>
      <c r="BA10" s="23" t="s">
        <v>97</v>
      </c>
      <c r="BB10" s="23" t="s">
        <v>98</v>
      </c>
      <c r="BC10" s="23" t="s">
        <v>6</v>
      </c>
      <c r="BD10" s="23" t="s">
        <v>99</v>
      </c>
      <c r="BE10" s="23" t="s">
        <v>100</v>
      </c>
      <c r="BF10" s="23" t="s">
        <v>101</v>
      </c>
      <c r="BG10" s="23" t="s">
        <v>84</v>
      </c>
      <c r="BH10" s="23" t="s">
        <v>102</v>
      </c>
      <c r="BI10" s="23" t="s">
        <v>103</v>
      </c>
      <c r="BJ10" s="23" t="s">
        <v>104</v>
      </c>
      <c r="BK10" s="23" t="s">
        <v>105</v>
      </c>
      <c r="BL10" s="23" t="s">
        <v>106</v>
      </c>
      <c r="BM10" s="23" t="s">
        <v>107</v>
      </c>
      <c r="BN10" t="s">
        <v>108</v>
      </c>
      <c r="BO10" s="23" t="s">
        <v>109</v>
      </c>
      <c r="BP10" s="23" t="s">
        <v>110</v>
      </c>
      <c r="BQ10" s="23" t="s">
        <v>111</v>
      </c>
      <c r="BR10" s="23" t="s">
        <v>112</v>
      </c>
      <c r="BS10" s="23" t="s">
        <v>113</v>
      </c>
      <c r="BT10" s="22" t="s">
        <v>141</v>
      </c>
      <c r="BU10" s="22" t="s">
        <v>142</v>
      </c>
      <c r="BV10" s="22" t="s">
        <v>143</v>
      </c>
      <c r="BW10" s="22" t="s">
        <v>146</v>
      </c>
      <c r="BX10" s="22"/>
      <c r="BY10" s="22"/>
      <c r="BZ10" s="22"/>
      <c r="CA10" s="22" t="s">
        <v>114</v>
      </c>
      <c r="CB10" s="22" t="s">
        <v>0</v>
      </c>
      <c r="CC10" s="22" t="s">
        <v>0</v>
      </c>
      <c r="CD10" s="22" t="s">
        <v>23</v>
      </c>
      <c r="CE10" s="22" t="s">
        <v>114</v>
      </c>
      <c r="CF10" s="22" t="s">
        <v>0</v>
      </c>
      <c r="CG10" s="22" t="s">
        <v>0</v>
      </c>
      <c r="CH10" s="22" t="s">
        <v>23</v>
      </c>
      <c r="CI10" s="22" t="s">
        <v>1</v>
      </c>
      <c r="CJ10" s="22" t="s">
        <v>115</v>
      </c>
      <c r="CK10" s="58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</row>
    <row r="11" spans="1:127">
      <c r="A11" s="42" t="s">
        <v>160</v>
      </c>
      <c r="B11" s="42">
        <v>12</v>
      </c>
      <c r="C11" s="42">
        <v>21</v>
      </c>
      <c r="D11" s="42" t="s">
        <v>294</v>
      </c>
      <c r="E11" s="42" t="b">
        <v>1</v>
      </c>
      <c r="F11" s="42">
        <v>1</v>
      </c>
      <c r="BF11" s="63"/>
      <c r="BR11" s="27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59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</row>
    <row r="12" spans="1:127">
      <c r="A12" s="42" t="s">
        <v>236</v>
      </c>
      <c r="B12" s="42">
        <v>10</v>
      </c>
      <c r="C12" s="42">
        <v>19</v>
      </c>
      <c r="D12" s="42" t="s">
        <v>248</v>
      </c>
      <c r="E12" s="42" t="b">
        <v>1</v>
      </c>
      <c r="F12" s="42">
        <v>1</v>
      </c>
      <c r="BF12" s="63"/>
      <c r="BR12" s="27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8"/>
      <c r="CI12" s="24"/>
      <c r="CJ12" s="28"/>
      <c r="CK12" s="59"/>
      <c r="CL12" s="28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</row>
    <row r="13" spans="1:127">
      <c r="A13" s="42" t="s">
        <v>254</v>
      </c>
      <c r="B13" s="42">
        <v>3</v>
      </c>
      <c r="C13" s="42">
        <v>12</v>
      </c>
      <c r="D13" s="42" t="s">
        <v>2132</v>
      </c>
      <c r="E13" s="42" t="b">
        <v>0</v>
      </c>
      <c r="F13" s="42">
        <v>0</v>
      </c>
      <c r="BF13" s="63"/>
      <c r="BR13" s="27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8"/>
      <c r="CI13" s="24"/>
      <c r="CJ13" s="28"/>
      <c r="CK13" s="59"/>
      <c r="CL13" s="28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</row>
    <row r="14" spans="1:127">
      <c r="A14" s="42" t="s">
        <v>2108</v>
      </c>
      <c r="B14" s="42">
        <v>3</v>
      </c>
      <c r="C14" s="42">
        <v>12</v>
      </c>
      <c r="D14" s="42" t="s">
        <v>2112</v>
      </c>
      <c r="E14" s="42" t="b">
        <v>0</v>
      </c>
      <c r="F14" s="42">
        <v>0</v>
      </c>
      <c r="BF14" s="63"/>
      <c r="BR14" s="27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8"/>
      <c r="CI14" s="24"/>
      <c r="CJ14" s="28"/>
      <c r="CK14" s="59"/>
      <c r="CL14" s="28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</row>
    <row r="15" spans="1:127">
      <c r="A15" s="42" t="s">
        <v>134</v>
      </c>
      <c r="B15" s="42">
        <v>11</v>
      </c>
      <c r="C15" s="42">
        <v>20</v>
      </c>
      <c r="D15" s="42" t="s">
        <v>135</v>
      </c>
      <c r="E15" s="42" t="b">
        <v>0</v>
      </c>
      <c r="F15" s="42">
        <v>3</v>
      </c>
      <c r="BF15" s="63"/>
      <c r="BR15" s="27"/>
      <c r="BS15" s="24"/>
      <c r="BT15" s="28"/>
      <c r="BU15" s="28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59"/>
      <c r="CL15" s="24"/>
      <c r="CM15" s="28"/>
      <c r="CN15" s="28"/>
      <c r="CO15" s="28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</row>
    <row r="16" spans="1:127">
      <c r="A16" s="42" t="s">
        <v>176</v>
      </c>
      <c r="B16" s="42">
        <v>0</v>
      </c>
      <c r="C16" s="42">
        <v>0</v>
      </c>
      <c r="D16" s="42" t="s">
        <v>177</v>
      </c>
      <c r="E16" s="42" t="b">
        <v>0</v>
      </c>
      <c r="F16" s="42">
        <v>0</v>
      </c>
      <c r="BF16" s="63"/>
      <c r="BR16" s="27"/>
      <c r="BS16" s="24"/>
      <c r="BT16" s="28"/>
      <c r="BU16" s="28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59"/>
      <c r="CL16" s="24"/>
      <c r="CM16" s="28"/>
      <c r="CN16" s="28"/>
      <c r="CO16" s="28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</row>
    <row r="17" spans="1:123">
      <c r="A17" s="42"/>
      <c r="B17" s="42"/>
      <c r="C17" s="42"/>
      <c r="D17" s="42"/>
      <c r="E17" s="42"/>
      <c r="F17" s="42"/>
      <c r="BF17" s="63"/>
      <c r="BR17" s="27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59"/>
      <c r="CL17" s="24"/>
      <c r="CM17" s="28"/>
      <c r="CN17" s="28"/>
      <c r="CO17" s="28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</row>
    <row r="18" spans="1:123">
      <c r="A18" s="42"/>
      <c r="B18" s="42"/>
      <c r="C18" s="42"/>
      <c r="D18" s="42"/>
      <c r="E18" s="42"/>
      <c r="F18" s="42"/>
      <c r="BF18" s="63"/>
      <c r="BR18" s="27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59"/>
      <c r="CL18" s="24"/>
      <c r="CM18" s="28"/>
      <c r="CN18" s="28"/>
      <c r="CO18" s="28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</row>
    <row r="19" spans="1:123">
      <c r="BF19" s="63"/>
      <c r="BR19" s="27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59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</row>
    <row r="20" spans="1:123">
      <c r="BF20" s="63"/>
      <c r="BR20" s="27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59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</row>
    <row r="21" spans="1:123">
      <c r="BF21" s="63"/>
      <c r="BR21" s="27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59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</row>
    <row r="22" spans="1:123">
      <c r="BF22" s="63"/>
      <c r="BR22" s="27"/>
    </row>
    <row r="23" spans="1:123">
      <c r="BF23" s="63"/>
    </row>
    <row r="24" spans="1:123">
      <c r="BF24" s="63"/>
    </row>
    <row r="25" spans="1:123">
      <c r="BF25" s="63"/>
    </row>
    <row r="26" spans="1:123">
      <c r="BF26" s="63"/>
    </row>
    <row r="27" spans="1:123" ht="22.8">
      <c r="AX27" s="24"/>
      <c r="AY27" s="24"/>
      <c r="AZ27" s="39"/>
      <c r="BA27" s="24"/>
      <c r="BF27" s="27"/>
    </row>
    <row r="28" spans="1:123" ht="22.8">
      <c r="AX28" s="24"/>
      <c r="AY28" s="24"/>
      <c r="AZ28" s="39"/>
      <c r="BF28" s="27"/>
    </row>
    <row r="29" spans="1:123">
      <c r="BF29" s="27"/>
    </row>
    <row r="30" spans="1:123">
      <c r="BF30" s="27"/>
    </row>
    <row r="31" spans="1:123">
      <c r="BF31" s="27"/>
    </row>
    <row r="32" spans="1:123">
      <c r="BF32" s="27"/>
    </row>
  </sheetData>
  <mergeCells count="1">
    <mergeCell ref="A5:F5"/>
  </mergeCells>
  <pageMargins left="0.7" right="0.7" top="0.75" bottom="0.75" header="0.3" footer="0.3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AP107"/>
  <sheetViews>
    <sheetView showZeros="0" view="pageBreakPreview" topLeftCell="J2" zoomScale="40" zoomScaleNormal="25" zoomScaleSheetLayoutView="40" zoomScalePageLayoutView="25" workbookViewId="0">
      <selection activeCell="J12" sqref="A12:XFD21"/>
    </sheetView>
  </sheetViews>
  <sheetFormatPr defaultColWidth="9.44140625" defaultRowHeight="39.9" customHeight="1"/>
  <cols>
    <col min="1" max="1" width="10.44140625" style="65" customWidth="1"/>
    <col min="2" max="2" width="30.5546875" style="65" customWidth="1"/>
    <col min="3" max="3" width="17.5546875" style="65" customWidth="1"/>
    <col min="4" max="4" width="17.44140625" style="65" customWidth="1"/>
    <col min="5" max="5" width="17" style="65" bestFit="1" customWidth="1"/>
    <col min="6" max="6" width="23.6640625" style="65" bestFit="1" customWidth="1"/>
    <col min="7" max="7" width="19.44140625" style="65" bestFit="1" customWidth="1"/>
    <col min="8" max="8" width="21.88671875" style="65" customWidth="1"/>
    <col min="9" max="9" width="26.88671875" style="65" customWidth="1"/>
    <col min="10" max="10" width="15.33203125" style="69" customWidth="1"/>
    <col min="11" max="11" width="14.5546875" style="69" customWidth="1"/>
    <col min="12" max="12" width="41.5546875" style="65" customWidth="1"/>
    <col min="13" max="13" width="21.109375" style="65" customWidth="1"/>
    <col min="14" max="14" width="14.33203125" style="65" customWidth="1"/>
    <col min="15" max="15" width="30.109375" style="65" customWidth="1"/>
    <col min="16" max="16" width="26.6640625" style="65" customWidth="1"/>
    <col min="17" max="18" width="24.88671875" style="65" customWidth="1"/>
    <col min="19" max="19" width="22" style="65" customWidth="1"/>
    <col min="20" max="20" width="24.109375" style="65" customWidth="1"/>
    <col min="21" max="21" width="24" style="65" customWidth="1"/>
    <col min="22" max="22" width="20.5546875" style="65" customWidth="1"/>
    <col min="23" max="23" width="16.88671875" style="65" customWidth="1"/>
    <col min="24" max="24" width="18.33203125" customWidth="1"/>
    <col min="25" max="25" width="19" customWidth="1"/>
    <col min="26" max="26" width="24" customWidth="1"/>
    <col min="27" max="28" width="26.5546875" customWidth="1"/>
    <col min="29" max="29" width="41.6640625" customWidth="1"/>
    <col min="30" max="30" width="15.5546875" customWidth="1"/>
    <col min="31" max="31" width="17" customWidth="1"/>
    <col min="32" max="32" width="16.33203125" customWidth="1"/>
    <col min="33" max="33" width="16.5546875" customWidth="1"/>
    <col min="34" max="34" width="15.88671875" customWidth="1"/>
    <col min="35" max="35" width="16.33203125" customWidth="1"/>
    <col min="36" max="36" width="15.88671875" customWidth="1"/>
  </cols>
  <sheetData>
    <row r="1" spans="1:42" ht="37.5" hidden="1" customHeight="1">
      <c r="H1" s="66"/>
      <c r="I1" s="66"/>
      <c r="J1" s="66"/>
      <c r="K1" s="66"/>
      <c r="L1" s="66"/>
      <c r="M1" s="66"/>
      <c r="O1" s="66"/>
      <c r="P1" s="66"/>
      <c r="Q1" s="66"/>
      <c r="R1" s="66"/>
      <c r="S1" s="66"/>
      <c r="U1" s="67"/>
      <c r="V1" s="67"/>
      <c r="W1" s="67"/>
    </row>
    <row r="2" spans="1:42" s="30" customFormat="1" ht="219" customHeight="1">
      <c r="A2" s="12" t="s">
        <v>179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P2" s="37"/>
    </row>
    <row r="3" spans="1:42" s="51" customFormat="1" ht="50.1" customHeight="1">
      <c r="A3" s="136" t="s">
        <v>7</v>
      </c>
      <c r="B3" s="136"/>
      <c r="C3" s="136"/>
      <c r="D3" s="8"/>
      <c r="E3" s="8"/>
      <c r="F3" s="8"/>
      <c r="G3" s="8"/>
      <c r="H3" s="8" t="s">
        <v>120</v>
      </c>
      <c r="I3" s="8"/>
      <c r="J3" s="8"/>
      <c r="K3" s="8"/>
      <c r="L3" s="8"/>
      <c r="M3" s="4">
        <f>Data!BF5</f>
        <v>0</v>
      </c>
      <c r="N3" s="4"/>
      <c r="O3" s="4"/>
      <c r="P3" s="4"/>
      <c r="Q3" s="4"/>
      <c r="R3" s="4"/>
      <c r="S3" s="4"/>
      <c r="T3" s="11" t="s">
        <v>4</v>
      </c>
      <c r="U3" s="11"/>
      <c r="V3" s="11"/>
      <c r="W3" s="11"/>
      <c r="X3" s="11"/>
      <c r="Y3" s="11"/>
      <c r="Z3" s="11"/>
      <c r="AA3" s="11"/>
      <c r="AB3" s="11"/>
      <c r="AC3" s="11"/>
    </row>
    <row r="4" spans="1:42" s="51" customFormat="1" ht="50.1" customHeight="1">
      <c r="A4" s="136" t="s">
        <v>145</v>
      </c>
      <c r="B4" s="136"/>
      <c r="C4" s="136"/>
      <c r="D4" s="7">
        <f>Data!BC5</f>
        <v>0</v>
      </c>
      <c r="E4" s="7"/>
      <c r="F4" s="7"/>
      <c r="G4" s="7"/>
      <c r="H4" s="5" t="s">
        <v>8</v>
      </c>
      <c r="I4" s="5"/>
      <c r="J4" s="5"/>
      <c r="K4" s="5"/>
      <c r="L4" s="5"/>
      <c r="M4" s="4" t="str">
        <f>TRIM(Data!AX5)</f>
        <v/>
      </c>
      <c r="N4" s="4"/>
      <c r="O4" s="4"/>
      <c r="P4" s="4"/>
      <c r="Q4" s="4"/>
      <c r="R4" s="4"/>
      <c r="S4" s="4"/>
      <c r="T4" s="10" t="str">
        <f>TRIM(Data!BG5)</f>
        <v/>
      </c>
      <c r="U4" s="10"/>
      <c r="V4" s="10"/>
      <c r="W4" s="10"/>
      <c r="X4" s="10"/>
      <c r="Y4" s="10"/>
      <c r="Z4" s="10"/>
      <c r="AA4" s="10"/>
      <c r="AB4" s="10"/>
      <c r="AC4" s="10"/>
    </row>
    <row r="5" spans="1:42" s="52" customFormat="1" ht="50.1" customHeight="1">
      <c r="A5" s="136" t="s">
        <v>17</v>
      </c>
      <c r="B5" s="136"/>
      <c r="C5" s="136"/>
      <c r="D5" s="7">
        <f>Data!BD5</f>
        <v>0</v>
      </c>
      <c r="E5" s="7"/>
      <c r="F5" s="7"/>
      <c r="G5" s="7"/>
      <c r="H5" s="5" t="s">
        <v>139</v>
      </c>
      <c r="I5" s="5"/>
      <c r="J5" s="5"/>
      <c r="K5" s="5"/>
      <c r="L5" s="5"/>
      <c r="M5" s="4" t="str">
        <f>LEFT(Data!BA5,10)</f>
        <v/>
      </c>
      <c r="N5" s="4"/>
      <c r="O5" s="4"/>
      <c r="P5" s="4"/>
      <c r="Q5" s="4"/>
      <c r="R5" s="4"/>
      <c r="S5" s="4"/>
      <c r="T5" s="10"/>
      <c r="U5" s="10"/>
      <c r="V5" s="10"/>
      <c r="W5" s="10"/>
      <c r="X5" s="10"/>
      <c r="Y5" s="10"/>
      <c r="Z5" s="10"/>
      <c r="AA5" s="10"/>
      <c r="AB5" s="10"/>
      <c r="AC5" s="10"/>
    </row>
    <row r="6" spans="1:42" s="52" customFormat="1" ht="50.1" customHeight="1">
      <c r="A6" s="137" t="s">
        <v>11</v>
      </c>
      <c r="B6" s="137"/>
      <c r="C6" s="137"/>
      <c r="D6" s="6">
        <f>Data!AY5</f>
        <v>0</v>
      </c>
      <c r="E6" s="6"/>
      <c r="F6" s="6"/>
      <c r="G6" s="6"/>
      <c r="H6" s="7" t="s">
        <v>14</v>
      </c>
      <c r="I6" s="7"/>
      <c r="J6" s="7"/>
      <c r="K6" s="7"/>
      <c r="L6" s="7"/>
      <c r="M6" s="4" t="str">
        <f>TRIM(Data!BF5)</f>
        <v/>
      </c>
      <c r="N6" s="4"/>
      <c r="O6" s="4"/>
      <c r="P6" s="4"/>
      <c r="Q6" s="4"/>
      <c r="R6" s="4"/>
      <c r="S6" s="4"/>
      <c r="T6" s="10"/>
      <c r="U6" s="10"/>
      <c r="V6" s="10"/>
      <c r="W6" s="10"/>
      <c r="X6" s="10"/>
      <c r="Y6" s="10"/>
      <c r="Z6" s="10"/>
      <c r="AA6" s="10"/>
      <c r="AB6" s="10"/>
      <c r="AC6" s="10"/>
    </row>
    <row r="7" spans="1:42" s="52" customFormat="1" ht="50.1" customHeight="1">
      <c r="A7" s="9">
        <f>Data!CZ5</f>
        <v>0</v>
      </c>
      <c r="B7" s="9"/>
      <c r="C7" s="9"/>
      <c r="D7" s="9"/>
      <c r="E7" s="9"/>
      <c r="F7" s="9"/>
      <c r="G7" s="9"/>
      <c r="H7" s="7"/>
      <c r="I7" s="7"/>
      <c r="J7" s="7"/>
      <c r="K7" s="7"/>
      <c r="L7" s="7"/>
      <c r="M7" s="4" t="str">
        <f>CONCATENATE(Data!BH5," ",Data!BI5," ",Data!BJ5," ",Data!BK5," ",Data!BL5)</f>
        <v xml:space="preserve">    </v>
      </c>
      <c r="N7" s="4"/>
      <c r="O7" s="4"/>
      <c r="P7" s="4"/>
      <c r="Q7" s="4"/>
      <c r="R7" s="4"/>
      <c r="S7" s="4"/>
      <c r="T7" s="10"/>
      <c r="U7" s="10"/>
      <c r="V7" s="10"/>
      <c r="W7" s="10"/>
      <c r="X7" s="10"/>
      <c r="Y7" s="10"/>
      <c r="Z7" s="10"/>
      <c r="AA7" s="10"/>
      <c r="AB7" s="10"/>
      <c r="AC7" s="10"/>
    </row>
    <row r="8" spans="1:42" s="52" customFormat="1" ht="50.1" customHeight="1">
      <c r="A8" s="9"/>
      <c r="B8" s="9"/>
      <c r="C8" s="9"/>
      <c r="D8" s="9"/>
      <c r="E8" s="9"/>
      <c r="F8" s="9"/>
      <c r="G8" s="9"/>
      <c r="H8" s="7"/>
      <c r="I8" s="7"/>
      <c r="J8" s="7"/>
      <c r="K8" s="7"/>
      <c r="L8" s="7"/>
      <c r="M8" s="4" t="str">
        <f>CONCATENATE(Data!BM5," ",Data!BN5," ",Data!BO5," ",Data!BP5)</f>
        <v xml:space="preserve">   </v>
      </c>
      <c r="N8" s="4"/>
      <c r="O8" s="4"/>
      <c r="P8" s="4"/>
      <c r="Q8" s="4"/>
      <c r="R8" s="4"/>
      <c r="S8" s="4"/>
      <c r="T8" s="10"/>
      <c r="U8" s="10"/>
      <c r="V8" s="10"/>
      <c r="W8" s="10"/>
      <c r="X8" s="10"/>
      <c r="Y8" s="10"/>
      <c r="Z8" s="10"/>
      <c r="AA8" s="10"/>
      <c r="AB8" s="10"/>
      <c r="AC8" s="10"/>
    </row>
    <row r="9" spans="1:42" s="61" customFormat="1" ht="49.8" customHeight="1">
      <c r="A9" s="138" t="s">
        <v>144</v>
      </c>
      <c r="B9" s="1" t="s">
        <v>122</v>
      </c>
      <c r="C9" s="139" t="s">
        <v>174</v>
      </c>
      <c r="D9" s="139" t="s">
        <v>219</v>
      </c>
      <c r="E9" s="140" t="s">
        <v>147</v>
      </c>
      <c r="F9" s="3" t="s">
        <v>185</v>
      </c>
      <c r="G9" s="3" t="s">
        <v>186</v>
      </c>
      <c r="H9" s="2" t="s">
        <v>220</v>
      </c>
      <c r="I9" s="2" t="s">
        <v>175</v>
      </c>
      <c r="J9" s="13" t="s">
        <v>158</v>
      </c>
      <c r="K9" s="13" t="s">
        <v>152</v>
      </c>
      <c r="L9" s="13" t="s">
        <v>9</v>
      </c>
      <c r="M9" s="13" t="s">
        <v>13</v>
      </c>
      <c r="N9" s="13" t="s">
        <v>187</v>
      </c>
      <c r="O9" s="1" t="s">
        <v>188</v>
      </c>
      <c r="P9" s="1" t="s">
        <v>189</v>
      </c>
      <c r="Q9" s="1" t="s">
        <v>2127</v>
      </c>
      <c r="R9" s="1" t="s">
        <v>157</v>
      </c>
      <c r="S9" s="13" t="s">
        <v>223</v>
      </c>
      <c r="T9" s="13" t="s">
        <v>10</v>
      </c>
      <c r="U9" s="13" t="s">
        <v>229</v>
      </c>
      <c r="V9" s="13" t="s">
        <v>228</v>
      </c>
      <c r="W9" s="13" t="s">
        <v>227</v>
      </c>
      <c r="X9" s="13" t="s">
        <v>226</v>
      </c>
      <c r="Y9" s="13" t="s">
        <v>225</v>
      </c>
      <c r="Z9" s="13" t="s">
        <v>247</v>
      </c>
      <c r="AA9" s="13" t="s">
        <v>224</v>
      </c>
      <c r="AB9" s="13" t="s">
        <v>170</v>
      </c>
      <c r="AC9" s="13" t="s">
        <v>5</v>
      </c>
      <c r="AE9" s="1" t="s">
        <v>292</v>
      </c>
      <c r="AF9" s="13" t="s">
        <v>190</v>
      </c>
      <c r="AG9" s="13" t="s">
        <v>191</v>
      </c>
      <c r="AH9" s="13" t="s">
        <v>193</v>
      </c>
      <c r="AI9" s="13" t="s">
        <v>192</v>
      </c>
      <c r="AJ9" s="13" t="s">
        <v>2109</v>
      </c>
    </row>
    <row r="10" spans="1:42" s="61" customFormat="1" ht="14.25" hidden="1" customHeight="1">
      <c r="A10" s="138"/>
      <c r="B10" s="1"/>
      <c r="C10" s="139"/>
      <c r="D10" s="139"/>
      <c r="E10" s="140"/>
      <c r="F10" s="3"/>
      <c r="G10" s="3"/>
      <c r="H10" s="2"/>
      <c r="I10" s="2"/>
      <c r="J10" s="13"/>
      <c r="K10" s="13"/>
      <c r="L10" s="13"/>
      <c r="M10" s="13"/>
      <c r="N10" s="13"/>
      <c r="O10" s="1"/>
      <c r="P10" s="1"/>
      <c r="Q10" s="1"/>
      <c r="R10" s="1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E10" s="1"/>
      <c r="AF10" s="13"/>
      <c r="AG10" s="13"/>
      <c r="AH10" s="13"/>
      <c r="AI10" s="13"/>
      <c r="AJ10" s="13"/>
    </row>
    <row r="11" spans="1:42" s="62" customFormat="1" ht="72" customHeight="1">
      <c r="A11" s="138"/>
      <c r="B11" s="1"/>
      <c r="C11" s="139"/>
      <c r="D11" s="139"/>
      <c r="E11" s="140"/>
      <c r="F11" s="3"/>
      <c r="G11" s="3"/>
      <c r="H11" s="2"/>
      <c r="I11" s="2"/>
      <c r="J11" s="13"/>
      <c r="K11" s="13"/>
      <c r="L11" s="13"/>
      <c r="M11" s="13"/>
      <c r="N11" s="13"/>
      <c r="O11" s="1"/>
      <c r="P11" s="1"/>
      <c r="Q11" s="1"/>
      <c r="R11" s="1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E11" s="1"/>
      <c r="AF11" s="13"/>
      <c r="AG11" s="13"/>
      <c r="AH11" s="13"/>
      <c r="AI11" s="13"/>
      <c r="AJ11" s="13"/>
    </row>
    <row r="12" spans="1:42" s="39" customFormat="1" ht="60" customHeight="1">
      <c r="A12" s="78">
        <f>Data!AW11</f>
        <v>0</v>
      </c>
      <c r="B12" s="38">
        <f>Data!AY11</f>
        <v>0</v>
      </c>
      <c r="C12" s="101">
        <f>SUM(Data!BA11)</f>
        <v>0</v>
      </c>
      <c r="D12" s="101">
        <f>Data!BB11</f>
        <v>0</v>
      </c>
      <c r="E12" s="93" t="str">
        <f t="array" ref="E12">bpLOOKUP(Data!$AV11,"Size",CustOrdOpt,6,FALSE)</f>
        <v/>
      </c>
      <c r="F12" s="94" t="str">
        <f t="array" ref="F12">bpLOOKUP(Data!$AV11,"MEASURED AS",CustOrdOpt,6,FALSE)</f>
        <v/>
      </c>
      <c r="G12" s="94" t="str">
        <f t="array" ref="G12">bpLOOKUP(Data!$AV11,"FLOORING",CustOrdOpt,6,FALSE)</f>
        <v/>
      </c>
      <c r="H12" s="94" t="str">
        <f t="array" ref="H12">bpLOOKUP(Data!$AV11,"HEIGHT OFF FLOOR",CustOrdOpt,6,FALSE)</f>
        <v/>
      </c>
      <c r="I12" s="95" t="str">
        <f t="array" ref="I12">bpLOOKUP(Data!$AV11,"SIDEBYSIDE",CustOrdOpt,6,FALSE)</f>
        <v/>
      </c>
      <c r="J12" s="45" t="str">
        <f>IF(Data!BA11="","",IF(E12="Cloth",Data!BA11+VLOOKUP(N12,CONTROLDEDUCT,2,FALSE)-VLOOKUP(M12,FitDeduct,2,FALSE)-VLOOKUP(I12,SideDeduct,2,FALSE),IF(E12="Opening",Data!BA11-VLOOKUP(M12,FitDeduct,2,FALSE)-VLOOKUP(I12,SideDeduct,2,FALSE),IF(E12="Making",Data!BA11))))</f>
        <v/>
      </c>
      <c r="K12" s="45" t="str">
        <f>IF(Data!AX11="","",D12-VLOOKUP('Job Sheet'!G12,Flooring,2,FALSE)-VLOOKUP('Job Sheet'!H12,Height,2,FALSE))</f>
        <v/>
      </c>
      <c r="L12" s="38" t="str">
        <f>IF(Data!BE11="","",MID(Data!BE11,6,80))</f>
        <v/>
      </c>
      <c r="M12" s="41" t="str">
        <f t="array" ref="M12">bpLOOKUP(Data!$AV11,"FIT",CustOrdOpt,6,FALSE)</f>
        <v/>
      </c>
      <c r="N12" s="89" t="str">
        <f t="array" ref="N12">bpLOOKUP(Data!$AV11,"QTY",CustOrdOpt,6,FALSE)</f>
        <v/>
      </c>
      <c r="O12" s="41" t="str">
        <f t="array" ref="O12">bpLOOKUP(Data!$AV11,"LAYOUT",CustOrdOpt,6,FALSE)</f>
        <v/>
      </c>
      <c r="P12" s="41" t="str">
        <f t="array" ref="P12">bpLOOKUP(Data!$AV11,"TRACKCOLOUR",CustOrdOpt,6,FALSE)</f>
        <v/>
      </c>
      <c r="Q12" s="41" t="str" cm="1">
        <f t="array" ref="Q12">bpLOOKUP(Data!$AV11,"BRAIL",CustOrdOpt,6,FALSE)</f>
        <v/>
      </c>
      <c r="R12" s="41" t="str" cm="1">
        <f t="array" ref="R12">bpLOOKUP(Data!$AV11,"BRAILC",CustOrdOpt,6,FALSE)</f>
        <v/>
      </c>
      <c r="S12" s="41" t="str">
        <f>IF(Data!AV11="","",IF(T12="","",IF(T12="None","None",'Job Sheet'!C12+VLOOKUP(U12,PelmetAdd,2,FALSE))))</f>
        <v/>
      </c>
      <c r="T12" s="41" t="str">
        <f t="array" ref="T12">bpLOOKUP(Data!$AV11,"PELTYPE",CustOrdOpt,6,FALSE)</f>
        <v/>
      </c>
      <c r="U12" s="41" t="str">
        <f t="array" ref="U12">bpLOOKUP(Data!$AV11,"ADDWIDTH",CustOrdOpt,6,FALSE)</f>
        <v/>
      </c>
      <c r="V12" s="41" t="str">
        <f t="array" ref="V12">bpLOOKUP(Data!$AV11,"PELSHAPE",CustOrdOpt,6,FALSE)</f>
        <v/>
      </c>
      <c r="W12" s="41" t="str">
        <f t="array" ref="W12">bpLOOKUP(Data!$AV11,"ITHGT",CustOrdOpt,6,FALSE)</f>
        <v/>
      </c>
      <c r="X12" s="41" t="str">
        <f t="array" ref="X12">bpLOOKUP(Data!$AV11,"PELRETURN",CustOrdOpt,6,FALSE)</f>
        <v/>
      </c>
      <c r="Y12" s="41" t="str">
        <f t="array" ref="Y12">bpLOOKUP(Data!$AV11,"PELRETURNSIZE",CustOrdOpt,6,FALSE)</f>
        <v/>
      </c>
      <c r="Z12" s="41" t="str">
        <f t="array" ref="Z12">bpLOOKUP(Data!$AV11,"HBSIZE",CustOrdOpt,6,FALSE)</f>
        <v/>
      </c>
      <c r="AA12" s="41" t="str">
        <f t="array" ref="AA12">bpLOOKUP(Data!$AV11,"PIPING",CustOrdOpt,6,FALSE)</f>
        <v/>
      </c>
      <c r="AB12" s="41" t="str">
        <f t="array" ref="AB12">bpLOOKUP(Data!$AV11,"INSTALLATION",CustOrdOpt,6,FALSE)</f>
        <v/>
      </c>
      <c r="AC12" s="41" t="str">
        <f t="array" ref="AC12">bpLOOKUP(Data!$AV11,"Notes",CustOrdOpt,6,FALSE)</f>
        <v/>
      </c>
      <c r="AE12" s="50" t="str">
        <f>IF(Data!AW11="","",J12-40)</f>
        <v/>
      </c>
      <c r="AF12" s="73" t="str">
        <f>IF(Data!AW11="","",(J12+70+((N12-2)*70))/N12+2)</f>
        <v/>
      </c>
      <c r="AG12" s="73" t="str">
        <f>IF(Data!AW11="","",IF(Q12="Plain Finish",AF12-9,AF12))</f>
        <v/>
      </c>
      <c r="AH12" s="73" t="str">
        <f>IF(Data!AW11="","",AF12-2)</f>
        <v/>
      </c>
      <c r="AI12" s="73" t="str">
        <f>IF(Data!AX11="","",IF(Q12="Plain Finish",K12+29,IF(Q12="Bottom Rail in Pocket",K12+42,K12-25)))</f>
        <v/>
      </c>
      <c r="AJ12" s="73" t="str">
        <f>IF(Data!AV11="","",VLOOKUP(L12,ColourMatch,2,FALSE))</f>
        <v/>
      </c>
    </row>
    <row r="13" spans="1:42" s="39" customFormat="1" ht="60" customHeight="1">
      <c r="A13" s="78">
        <f>Data!AW12</f>
        <v>0</v>
      </c>
      <c r="B13" s="38">
        <f>Data!AY12</f>
        <v>0</v>
      </c>
      <c r="C13" s="101">
        <f>SUM(Data!BA12)</f>
        <v>0</v>
      </c>
      <c r="D13" s="101">
        <f>Data!BB12</f>
        <v>0</v>
      </c>
      <c r="E13" s="93" t="str">
        <f t="array" ref="E13">bpLOOKUP(Data!$AV12,"Size",CustOrdOpt,6,FALSE)</f>
        <v/>
      </c>
      <c r="F13" s="94" t="str">
        <f t="array" ref="F13">bpLOOKUP(Data!$AV12,"MEASURED AS",CustOrdOpt,6,FALSE)</f>
        <v/>
      </c>
      <c r="G13" s="94" t="str">
        <f t="array" ref="G13">bpLOOKUP(Data!$AV12,"FLOORING",CustOrdOpt,6,FALSE)</f>
        <v/>
      </c>
      <c r="H13" s="94" t="str">
        <f t="array" ref="H13">bpLOOKUP(Data!$AV12,"HEIGHT OFF FLOOR",CustOrdOpt,6,FALSE)</f>
        <v/>
      </c>
      <c r="I13" s="95" t="str">
        <f t="array" ref="I13">bpLOOKUP(Data!$AV12,"SIDEBYSIDE",CustOrdOpt,6,FALSE)</f>
        <v/>
      </c>
      <c r="J13" s="45" t="str">
        <f>IF(Data!BA12="","",IF(E13="Cloth",Data!BA12+VLOOKUP(N13,CONTROLDEDUCT,2,FALSE)-VLOOKUP(M13,FitDeduct,2,FALSE)-VLOOKUP(I13,SideDeduct,2,FALSE),IF(E13="Opening",Data!BA12-VLOOKUP(M13,FitDeduct,2,FALSE)-VLOOKUP(I13,SideDeduct,2,FALSE),IF(E13="Making",Data!BA12))))</f>
        <v/>
      </c>
      <c r="K13" s="45" t="str">
        <f>IF(Data!AX12="","",D13-VLOOKUP('Job Sheet'!G13,Flooring,2,FALSE)-VLOOKUP('Job Sheet'!H13,Height,2,FALSE))</f>
        <v/>
      </c>
      <c r="L13" s="38" t="str">
        <f>IF(Data!BE12="","",MID(Data!BE12,6,80))</f>
        <v/>
      </c>
      <c r="M13" s="41" t="str">
        <f t="array" ref="M13">bpLOOKUP(Data!$AV12,"FIT",CustOrdOpt,6,FALSE)</f>
        <v/>
      </c>
      <c r="N13" s="89" t="str">
        <f t="array" ref="N13">bpLOOKUP(Data!$AV12,"QTY",CustOrdOpt,6,FALSE)</f>
        <v/>
      </c>
      <c r="O13" s="41" t="str">
        <f t="array" ref="O13">bpLOOKUP(Data!$AV12,"LAYOUT",CustOrdOpt,6,FALSE)</f>
        <v/>
      </c>
      <c r="P13" s="41" t="str">
        <f t="array" ref="P13">bpLOOKUP(Data!$AV12,"TRACKCOLOUR",CustOrdOpt,6,FALSE)</f>
        <v/>
      </c>
      <c r="Q13" s="41" t="str">
        <f t="array" ref="Q13">bpLOOKUP(Data!$AV12,"BRAIL",CustOrdOpt,6,FALSE)</f>
        <v/>
      </c>
      <c r="R13" s="41" t="str" cm="1">
        <f t="array" ref="R13">bpLOOKUP(Data!$AV12,"BRAILC",CustOrdOpt,6,FALSE)</f>
        <v/>
      </c>
      <c r="S13" s="41" t="str">
        <f>IF(Data!AV12="","",IF(T13="","",IF(T13="None","None",'Job Sheet'!C13+VLOOKUP(U13,PelmetAdd,2,FALSE))))</f>
        <v/>
      </c>
      <c r="T13" s="41" t="str">
        <f t="array" ref="T13">bpLOOKUP(Data!$AV12,"PELTYPE",CustOrdOpt,6,FALSE)</f>
        <v/>
      </c>
      <c r="U13" s="41" t="str">
        <f t="array" ref="U13">bpLOOKUP(Data!$AV12,"ADDWIDTH",CustOrdOpt,6,FALSE)</f>
        <v/>
      </c>
      <c r="V13" s="41" t="str">
        <f t="array" ref="V13">bpLOOKUP(Data!$AV12,"PELSHAPE",CustOrdOpt,6,FALSE)</f>
        <v/>
      </c>
      <c r="W13" s="41" t="str">
        <f t="array" ref="W13">bpLOOKUP(Data!$AV12,"ITHGT",CustOrdOpt,6,FALSE)</f>
        <v/>
      </c>
      <c r="X13" s="41" t="str">
        <f t="array" ref="X13">bpLOOKUP(Data!$AV12,"PELRETURN",CustOrdOpt,6,FALSE)</f>
        <v/>
      </c>
      <c r="Y13" s="41" t="str">
        <f t="array" ref="Y13">bpLOOKUP(Data!$AV12,"PELRETURNSIZE",CustOrdOpt,6,FALSE)</f>
        <v/>
      </c>
      <c r="Z13" s="41" t="str">
        <f t="array" ref="Z13">bpLOOKUP(Data!$AV12,"HBSIZE",CustOrdOpt,6,FALSE)</f>
        <v/>
      </c>
      <c r="AA13" s="41" t="str">
        <f t="array" ref="AA13">bpLOOKUP(Data!$AV12,"PIPING",CustOrdOpt,6,FALSE)</f>
        <v/>
      </c>
      <c r="AB13" s="41" t="str">
        <f t="array" ref="AB13">bpLOOKUP(Data!$AV12,"INSTALLATION",CustOrdOpt,6,FALSE)</f>
        <v/>
      </c>
      <c r="AC13" s="41" t="str">
        <f t="array" ref="AC13">bpLOOKUP(Data!$AV12,"Notes",CustOrdOpt,6,FALSE)</f>
        <v/>
      </c>
      <c r="AE13" s="50" t="str">
        <f>IF(Data!AW12="","",J13-40)</f>
        <v/>
      </c>
      <c r="AF13" s="73" t="str">
        <f>IF(Data!AW12="","",(J13+70+((N13-2)*70))/N13+2)</f>
        <v/>
      </c>
      <c r="AG13" s="73" t="str">
        <f>IF(Data!AW12="","",IF(Q13="Plain Finish",AF13-9,AF13))</f>
        <v/>
      </c>
      <c r="AH13" s="73" t="str">
        <f>IF(Data!AW12="","",AF13-2)</f>
        <v/>
      </c>
      <c r="AI13" s="73" t="str">
        <f>IF(Data!AX12="","",IF(Q13="Plain Finish",K13+29,IF(Q13="Bottom Rail in Pocket",K13+42,K13-25)))</f>
        <v/>
      </c>
      <c r="AJ13" s="73" t="str">
        <f>IF(Data!AV12="","",VLOOKUP(L13,ColourMatch,2,FALSE))</f>
        <v/>
      </c>
    </row>
    <row r="14" spans="1:42" s="39" customFormat="1" ht="60" customHeight="1">
      <c r="A14" s="78">
        <f>Data!AW13</f>
        <v>0</v>
      </c>
      <c r="B14" s="38">
        <f>Data!AY13</f>
        <v>0</v>
      </c>
      <c r="C14" s="101">
        <f>SUM(Data!BA13)</f>
        <v>0</v>
      </c>
      <c r="D14" s="101">
        <f>Data!BB13</f>
        <v>0</v>
      </c>
      <c r="E14" s="93" t="str">
        <f t="array" ref="E14">bpLOOKUP(Data!$AV13,"Size",CustOrdOpt,6,FALSE)</f>
        <v/>
      </c>
      <c r="F14" s="94" t="str">
        <f t="array" ref="F14">bpLOOKUP(Data!$AV13,"MEASURED AS",CustOrdOpt,6,FALSE)</f>
        <v/>
      </c>
      <c r="G14" s="94" t="str">
        <f t="array" ref="G14">bpLOOKUP(Data!$AV13,"FLOORING",CustOrdOpt,6,FALSE)</f>
        <v/>
      </c>
      <c r="H14" s="94" t="str">
        <f t="array" ref="H14">bpLOOKUP(Data!$AV13,"HEIGHT OFF FLOOR",CustOrdOpt,6,FALSE)</f>
        <v/>
      </c>
      <c r="I14" s="95" t="str">
        <f t="array" ref="I14">bpLOOKUP(Data!$AV13,"SIDEBYSIDE",CustOrdOpt,6,FALSE)</f>
        <v/>
      </c>
      <c r="J14" s="45" t="str">
        <f>IF(Data!BA13="","",IF(E14="Cloth",Data!BA13+VLOOKUP(N14,CONTROLDEDUCT,2,FALSE)-VLOOKUP(M14,FitDeduct,2,FALSE)-VLOOKUP(I14,SideDeduct,2,FALSE),IF(E14="Opening",Data!BA13-VLOOKUP(M14,FitDeduct,2,FALSE)-VLOOKUP(I14,SideDeduct,2,FALSE),IF(E14="Making",Data!BA13))))</f>
        <v/>
      </c>
      <c r="K14" s="45" t="str">
        <f>IF(Data!AX13="","",D14-VLOOKUP('Job Sheet'!G14,Flooring,2,FALSE)-VLOOKUP('Job Sheet'!H14,Height,2,FALSE))</f>
        <v/>
      </c>
      <c r="L14" s="38" t="str">
        <f>IF(Data!BE13="","",MID(Data!BE13,6,80))</f>
        <v/>
      </c>
      <c r="M14" s="41" t="str">
        <f t="array" ref="M14">bpLOOKUP(Data!$AV13,"FIT",CustOrdOpt,6,FALSE)</f>
        <v/>
      </c>
      <c r="N14" s="89" t="str">
        <f t="array" ref="N14">bpLOOKUP(Data!$AV13,"QTY",CustOrdOpt,6,FALSE)</f>
        <v/>
      </c>
      <c r="O14" s="41" t="str">
        <f t="array" ref="O14">bpLOOKUP(Data!$AV13,"LAYOUT",CustOrdOpt,6,FALSE)</f>
        <v/>
      </c>
      <c r="P14" s="41" t="str">
        <f t="array" ref="P14">bpLOOKUP(Data!$AV13,"TRACKCOLOUR",CustOrdOpt,6,FALSE)</f>
        <v/>
      </c>
      <c r="Q14" s="41" t="str">
        <f t="array" ref="Q14">bpLOOKUP(Data!$AV13,"BRAIL",CustOrdOpt,6,FALSE)</f>
        <v/>
      </c>
      <c r="R14" s="41" t="str" cm="1">
        <f t="array" ref="R14">bpLOOKUP(Data!$AV13,"BRAILC",CustOrdOpt,6,FALSE)</f>
        <v/>
      </c>
      <c r="S14" s="41" t="str">
        <f>IF(Data!AV13="","",IF(T14="","",IF(T14="None","None",'Job Sheet'!C14+VLOOKUP(U14,PelmetAdd,2,FALSE))))</f>
        <v/>
      </c>
      <c r="T14" s="41" t="str">
        <f t="array" ref="T14">bpLOOKUP(Data!$AV13,"PELTYPE",CustOrdOpt,6,FALSE)</f>
        <v/>
      </c>
      <c r="U14" s="41" t="str">
        <f t="array" ref="U14">bpLOOKUP(Data!$AV13,"ADDWIDTH",CustOrdOpt,6,FALSE)</f>
        <v/>
      </c>
      <c r="V14" s="41" t="str">
        <f t="array" ref="V14">bpLOOKUP(Data!$AV13,"PELSHAPE",CustOrdOpt,6,FALSE)</f>
        <v/>
      </c>
      <c r="W14" s="41" t="str">
        <f t="array" ref="W14">bpLOOKUP(Data!$AV13,"ITHGT",CustOrdOpt,6,FALSE)</f>
        <v/>
      </c>
      <c r="X14" s="41" t="str">
        <f t="array" ref="X14">bpLOOKUP(Data!$AV13,"PELRETURN",CustOrdOpt,6,FALSE)</f>
        <v/>
      </c>
      <c r="Y14" s="41" t="str">
        <f t="array" ref="Y14">bpLOOKUP(Data!$AV13,"PELRETURNSIZE",CustOrdOpt,6,FALSE)</f>
        <v/>
      </c>
      <c r="Z14" s="41" t="str">
        <f t="array" ref="Z14">bpLOOKUP(Data!$AV13,"HBSIZE",CustOrdOpt,6,FALSE)</f>
        <v/>
      </c>
      <c r="AA14" s="41" t="str">
        <f t="array" ref="AA14">bpLOOKUP(Data!$AV13,"PIPING",CustOrdOpt,6,FALSE)</f>
        <v/>
      </c>
      <c r="AB14" s="41" t="str">
        <f t="array" ref="AB14">bpLOOKUP(Data!$AV13,"INSTALLATION",CustOrdOpt,6,FALSE)</f>
        <v/>
      </c>
      <c r="AC14" s="41" t="str">
        <f t="array" ref="AC14">bpLOOKUP(Data!$AV13,"Notes",CustOrdOpt,6,FALSE)</f>
        <v/>
      </c>
      <c r="AE14" s="50" t="str">
        <f>IF(Data!AW13="","",J14-40)</f>
        <v/>
      </c>
      <c r="AF14" s="73" t="str">
        <f>IF(Data!AW13="","",(J14+70+((N14-2)*70))/N14+2)</f>
        <v/>
      </c>
      <c r="AG14" s="73" t="str">
        <f>IF(Data!AW13="","",IF(Q14="Plain Finish",AF14-9,AF14))</f>
        <v/>
      </c>
      <c r="AH14" s="73" t="str">
        <f>IF(Data!AW13="","",AF14-2)</f>
        <v/>
      </c>
      <c r="AI14" s="73" t="str">
        <f>IF(Data!AX13="","",IF(Q14="Plain Finish",K14+29,IF(Q14="Bottom Rail in Pocket",K14+42,K14-25)))</f>
        <v/>
      </c>
      <c r="AJ14" s="73" t="str">
        <f>IF(Data!AV13="","",VLOOKUP(L14,ColourMatch,2,FALSE))</f>
        <v/>
      </c>
    </row>
    <row r="15" spans="1:42" s="39" customFormat="1" ht="60" customHeight="1">
      <c r="A15" s="78">
        <f>Data!AW14</f>
        <v>0</v>
      </c>
      <c r="B15" s="38">
        <f>Data!AY14</f>
        <v>0</v>
      </c>
      <c r="C15" s="101">
        <f>SUM(Data!BA14)</f>
        <v>0</v>
      </c>
      <c r="D15" s="101">
        <f>Data!BB14</f>
        <v>0</v>
      </c>
      <c r="E15" s="93" t="str">
        <f t="array" ref="E15">bpLOOKUP(Data!$AV14,"Size",CustOrdOpt,6,FALSE)</f>
        <v/>
      </c>
      <c r="F15" s="94" t="str">
        <f t="array" ref="F15">bpLOOKUP(Data!$AV14,"MEASURED AS",CustOrdOpt,6,FALSE)</f>
        <v/>
      </c>
      <c r="G15" s="94" t="str">
        <f t="array" ref="G15">bpLOOKUP(Data!$AV14,"FLOORING",CustOrdOpt,6,FALSE)</f>
        <v/>
      </c>
      <c r="H15" s="94" t="str">
        <f t="array" ref="H15">bpLOOKUP(Data!$AV14,"HEIGHT OFF FLOOR",CustOrdOpt,6,FALSE)</f>
        <v/>
      </c>
      <c r="I15" s="95" t="str">
        <f t="array" ref="I15">bpLOOKUP(Data!$AV14,"SIDEBYSIDE",CustOrdOpt,6,FALSE)</f>
        <v/>
      </c>
      <c r="J15" s="45" t="str">
        <f>IF(Data!BA14="","",IF(E15="Cloth",Data!BA14+VLOOKUP(N15,CONTROLDEDUCT,2,FALSE)-VLOOKUP(M15,FitDeduct,2,FALSE)-VLOOKUP(I15,SideDeduct,2,FALSE),IF(E15="Opening",Data!BA14-VLOOKUP(M15,FitDeduct,2,FALSE)-VLOOKUP(I15,SideDeduct,2,FALSE),IF(E15="Making",Data!BA14))))</f>
        <v/>
      </c>
      <c r="K15" s="45" t="str">
        <f>IF(Data!AX14="","",D15-VLOOKUP('Job Sheet'!G15,Flooring,2,FALSE)-VLOOKUP('Job Sheet'!H15,Height,2,FALSE))</f>
        <v/>
      </c>
      <c r="L15" s="38" t="str">
        <f>IF(Data!BE14="","",MID(Data!BE14,6,80))</f>
        <v/>
      </c>
      <c r="M15" s="41" t="str">
        <f t="array" ref="M15">bpLOOKUP(Data!$AV14,"FIT",CustOrdOpt,6,FALSE)</f>
        <v/>
      </c>
      <c r="N15" s="89" t="str">
        <f t="array" ref="N15">bpLOOKUP(Data!$AV14,"QTY",CustOrdOpt,6,FALSE)</f>
        <v/>
      </c>
      <c r="O15" s="41" t="str">
        <f t="array" ref="O15">bpLOOKUP(Data!$AV14,"LAYOUT",CustOrdOpt,6,FALSE)</f>
        <v/>
      </c>
      <c r="P15" s="41" t="str">
        <f t="array" ref="P15">bpLOOKUP(Data!$AV14,"TRACKCOLOUR",CustOrdOpt,6,FALSE)</f>
        <v/>
      </c>
      <c r="Q15" s="41" t="str">
        <f t="array" ref="Q15">bpLOOKUP(Data!$AV14,"BRAIL",CustOrdOpt,6,FALSE)</f>
        <v/>
      </c>
      <c r="R15" s="41" t="str" cm="1">
        <f t="array" ref="R15">bpLOOKUP(Data!$AV14,"BRAILC",CustOrdOpt,6,FALSE)</f>
        <v/>
      </c>
      <c r="S15" s="41" t="str">
        <f>IF(Data!AV14="","",IF(T15="","",IF(T15="None","None",'Job Sheet'!C15+VLOOKUP(U15,PelmetAdd,2,FALSE))))</f>
        <v/>
      </c>
      <c r="T15" s="41" t="str">
        <f t="array" ref="T15">bpLOOKUP(Data!$AV14,"PELTYPE",CustOrdOpt,6,FALSE)</f>
        <v/>
      </c>
      <c r="U15" s="41" t="str">
        <f t="array" ref="U15">bpLOOKUP(Data!$AV14,"ADDWIDTH",CustOrdOpt,6,FALSE)</f>
        <v/>
      </c>
      <c r="V15" s="41" t="str">
        <f t="array" ref="V15">bpLOOKUP(Data!$AV14,"PELSHAPE",CustOrdOpt,6,FALSE)</f>
        <v/>
      </c>
      <c r="W15" s="41" t="str">
        <f t="array" ref="W15">bpLOOKUP(Data!$AV14,"ITHGT",CustOrdOpt,6,FALSE)</f>
        <v/>
      </c>
      <c r="X15" s="41" t="str">
        <f t="array" ref="X15">bpLOOKUP(Data!$AV14,"PELRETURN",CustOrdOpt,6,FALSE)</f>
        <v/>
      </c>
      <c r="Y15" s="41" t="str">
        <f t="array" ref="Y15">bpLOOKUP(Data!$AV14,"PELRETURNSIZE",CustOrdOpt,6,FALSE)</f>
        <v/>
      </c>
      <c r="Z15" s="41" t="str">
        <f t="array" ref="Z15">bpLOOKUP(Data!$AV14,"HBSIZE",CustOrdOpt,6,FALSE)</f>
        <v/>
      </c>
      <c r="AA15" s="41" t="str">
        <f t="array" ref="AA15">bpLOOKUP(Data!$AV14,"PIPING",CustOrdOpt,6,FALSE)</f>
        <v/>
      </c>
      <c r="AB15" s="41" t="str">
        <f t="array" ref="AB15">bpLOOKUP(Data!$AV14,"INSTALLATION",CustOrdOpt,6,FALSE)</f>
        <v/>
      </c>
      <c r="AC15" s="41" t="str">
        <f t="array" ref="AC15">bpLOOKUP(Data!$AV14,"Notes",CustOrdOpt,6,FALSE)</f>
        <v/>
      </c>
      <c r="AE15" s="50" t="str">
        <f>IF(Data!AW14="","",J15-40)</f>
        <v/>
      </c>
      <c r="AF15" s="73" t="str">
        <f>IF(Data!AW14="","",(J15+70+((N15-2)*70))/N15+2)</f>
        <v/>
      </c>
      <c r="AG15" s="73" t="str">
        <f>IF(Data!AW14="","",IF(Q15="Plain Finish",AF15-9,AF15))</f>
        <v/>
      </c>
      <c r="AH15" s="73" t="str">
        <f>IF(Data!AW14="","",AF15-2)</f>
        <v/>
      </c>
      <c r="AI15" s="73" t="str">
        <f>IF(Data!AX14="","",IF(Q15="Plain Finish",K15+29,IF(Q15="Bottom Rail in Pocket",K15+42,K15-25)))</f>
        <v/>
      </c>
      <c r="AJ15" s="73" t="str">
        <f>IF(Data!AV14="","",VLOOKUP(L15,ColourMatch,2,FALSE))</f>
        <v/>
      </c>
    </row>
    <row r="16" spans="1:42" s="39" customFormat="1" ht="60" customHeight="1">
      <c r="A16" s="78">
        <f>Data!AW15</f>
        <v>0</v>
      </c>
      <c r="B16" s="38">
        <f>Data!AY15</f>
        <v>0</v>
      </c>
      <c r="C16" s="101">
        <f>SUM(Data!BA15)</f>
        <v>0</v>
      </c>
      <c r="D16" s="101">
        <f>Data!BB15</f>
        <v>0</v>
      </c>
      <c r="E16" s="93" t="str">
        <f t="array" ref="E16">bpLOOKUP(Data!$AV15,"Size",CustOrdOpt,6,FALSE)</f>
        <v/>
      </c>
      <c r="F16" s="94" t="str">
        <f t="array" ref="F16">bpLOOKUP(Data!$AV15,"MEASURED AS",CustOrdOpt,6,FALSE)</f>
        <v/>
      </c>
      <c r="G16" s="94" t="str">
        <f t="array" ref="G16">bpLOOKUP(Data!$AV15,"FLOORING",CustOrdOpt,6,FALSE)</f>
        <v/>
      </c>
      <c r="H16" s="94" t="str">
        <f t="array" ref="H16">bpLOOKUP(Data!$AV15,"HEIGHT OFF FLOOR",CustOrdOpt,6,FALSE)</f>
        <v/>
      </c>
      <c r="I16" s="95" t="str">
        <f t="array" ref="I16">bpLOOKUP(Data!$AV15,"SIDEBYSIDE",CustOrdOpt,6,FALSE)</f>
        <v/>
      </c>
      <c r="J16" s="45" t="str">
        <f>IF(Data!BA15="","",IF(E16="Cloth",Data!BA15+VLOOKUP(N16,CONTROLDEDUCT,2,FALSE)-VLOOKUP(M16,FitDeduct,2,FALSE)-VLOOKUP(I16,SideDeduct,2,FALSE),IF(E16="Opening",Data!BA15-VLOOKUP(M16,FitDeduct,2,FALSE)-VLOOKUP(I16,SideDeduct,2,FALSE),IF(E16="Making",Data!BA15))))</f>
        <v/>
      </c>
      <c r="K16" s="45" t="str">
        <f>IF(Data!AX15="","",D16-VLOOKUP('Job Sheet'!G16,Flooring,2,FALSE)-VLOOKUP('Job Sheet'!H16,Height,2,FALSE))</f>
        <v/>
      </c>
      <c r="L16" s="38" t="str">
        <f>IF(Data!BE15="","",MID(Data!BE15,6,80))</f>
        <v/>
      </c>
      <c r="M16" s="41" t="str">
        <f t="array" ref="M16">bpLOOKUP(Data!$AV15,"FIT",CustOrdOpt,6,FALSE)</f>
        <v/>
      </c>
      <c r="N16" s="89" t="str">
        <f t="array" ref="N16">bpLOOKUP(Data!$AV15,"QTY",CustOrdOpt,6,FALSE)</f>
        <v/>
      </c>
      <c r="O16" s="41" t="str">
        <f t="array" ref="O16">bpLOOKUP(Data!$AV15,"LAYOUT",CustOrdOpt,6,FALSE)</f>
        <v/>
      </c>
      <c r="P16" s="41" t="str">
        <f t="array" ref="P16">bpLOOKUP(Data!$AV15,"TRACKCOLOUR",CustOrdOpt,6,FALSE)</f>
        <v/>
      </c>
      <c r="Q16" s="41" t="str">
        <f t="array" ref="Q16">bpLOOKUP(Data!$AV15,"BRAIL",CustOrdOpt,6,FALSE)</f>
        <v/>
      </c>
      <c r="R16" s="41" t="str" cm="1">
        <f t="array" ref="R16">bpLOOKUP(Data!$AV15,"BRAILC",CustOrdOpt,6,FALSE)</f>
        <v/>
      </c>
      <c r="S16" s="41" t="str">
        <f>IF(Data!AV15="","",IF(T16="","",IF(T16="None","None",'Job Sheet'!C16+VLOOKUP(U16,PelmetAdd,2,FALSE))))</f>
        <v/>
      </c>
      <c r="T16" s="41" t="str">
        <f t="array" ref="T16">bpLOOKUP(Data!$AV15,"PELTYPE",CustOrdOpt,6,FALSE)</f>
        <v/>
      </c>
      <c r="U16" s="41" t="str">
        <f t="array" ref="U16">bpLOOKUP(Data!$AV15,"ADDWIDTH",CustOrdOpt,6,FALSE)</f>
        <v/>
      </c>
      <c r="V16" s="41" t="str">
        <f t="array" ref="V16">bpLOOKUP(Data!$AV15,"PELSHAPE",CustOrdOpt,6,FALSE)</f>
        <v/>
      </c>
      <c r="W16" s="41" t="str">
        <f t="array" ref="W16">bpLOOKUP(Data!$AV15,"ITHGT",CustOrdOpt,6,FALSE)</f>
        <v/>
      </c>
      <c r="X16" s="41" t="str">
        <f t="array" ref="X16">bpLOOKUP(Data!$AV15,"PELRETURN",CustOrdOpt,6,FALSE)</f>
        <v/>
      </c>
      <c r="Y16" s="41" t="str">
        <f t="array" ref="Y16">bpLOOKUP(Data!$AV15,"PELRETURNSIZE",CustOrdOpt,6,FALSE)</f>
        <v/>
      </c>
      <c r="Z16" s="41" t="str">
        <f t="array" ref="Z16">bpLOOKUP(Data!$AV15,"HBSIZE",CustOrdOpt,6,FALSE)</f>
        <v/>
      </c>
      <c r="AA16" s="41" t="str">
        <f t="array" ref="AA16">bpLOOKUP(Data!$AV15,"PIPING",CustOrdOpt,6,FALSE)</f>
        <v/>
      </c>
      <c r="AB16" s="41" t="str">
        <f t="array" ref="AB16">bpLOOKUP(Data!$AV15,"INSTALLATION",CustOrdOpt,6,FALSE)</f>
        <v/>
      </c>
      <c r="AC16" s="41" t="str">
        <f t="array" ref="AC16">bpLOOKUP(Data!$AV15,"Notes",CustOrdOpt,6,FALSE)</f>
        <v/>
      </c>
      <c r="AE16" s="50" t="str">
        <f>IF(Data!AW15="","",J16-40)</f>
        <v/>
      </c>
      <c r="AF16" s="73" t="str">
        <f>IF(Data!AW15="","",(J16+70+((N16-2)*70))/N16+2)</f>
        <v/>
      </c>
      <c r="AG16" s="73" t="str">
        <f>IF(Data!AW15="","",IF(Q16="Plain Finish",AF16-9,AF16))</f>
        <v/>
      </c>
      <c r="AH16" s="73" t="str">
        <f>IF(Data!AW15="","",AF16-2)</f>
        <v/>
      </c>
      <c r="AI16" s="73" t="str">
        <f>IF(Data!AX15="","",IF(Q16="Plain Finish",K16+29,IF(Q16="Bottom Rail in Pocket",K16+42,K16-25)))</f>
        <v/>
      </c>
      <c r="AJ16" s="73" t="str">
        <f>IF(Data!AV15="","",VLOOKUP(L16,ColourMatch,2,FALSE))</f>
        <v/>
      </c>
    </row>
    <row r="17" spans="1:36" s="39" customFormat="1" ht="60" customHeight="1">
      <c r="A17" s="78">
        <f>Data!AW16</f>
        <v>0</v>
      </c>
      <c r="B17" s="38">
        <f>Data!AY16</f>
        <v>0</v>
      </c>
      <c r="C17" s="101">
        <f>SUM(Data!BA16)</f>
        <v>0</v>
      </c>
      <c r="D17" s="101">
        <f>Data!BB16</f>
        <v>0</v>
      </c>
      <c r="E17" s="93" t="str">
        <f t="array" ref="E17">bpLOOKUP(Data!$AV16,"Size",CustOrdOpt,6,FALSE)</f>
        <v/>
      </c>
      <c r="F17" s="94" t="str">
        <f t="array" ref="F17">bpLOOKUP(Data!$AV16,"MEASURED AS",CustOrdOpt,6,FALSE)</f>
        <v/>
      </c>
      <c r="G17" s="94" t="str">
        <f t="array" ref="G17">bpLOOKUP(Data!$AV16,"FLOORING",CustOrdOpt,6,FALSE)</f>
        <v/>
      </c>
      <c r="H17" s="94" t="str">
        <f t="array" ref="H17">bpLOOKUP(Data!$AV16,"HEIGHT OFF FLOOR",CustOrdOpt,6,FALSE)</f>
        <v/>
      </c>
      <c r="I17" s="95" t="str">
        <f t="array" ref="I17">bpLOOKUP(Data!$AV16,"SIDEBYSIDE",CustOrdOpt,6,FALSE)</f>
        <v/>
      </c>
      <c r="J17" s="45" t="str">
        <f>IF(Data!BA16="","",IF(E17="Cloth",Data!BA16+VLOOKUP(N17,CONTROLDEDUCT,2,FALSE)-VLOOKUP(M17,FitDeduct,2,FALSE)-VLOOKUP(I17,SideDeduct,2,FALSE),IF(E17="Opening",Data!BA16-VLOOKUP(M17,FitDeduct,2,FALSE)-VLOOKUP(I17,SideDeduct,2,FALSE),IF(E17="Making",Data!BA16))))</f>
        <v/>
      </c>
      <c r="K17" s="45" t="str">
        <f>IF(Data!AX16="","",D17-VLOOKUP('Job Sheet'!G17,Flooring,2,FALSE)-VLOOKUP('Job Sheet'!H17,Height,2,FALSE))</f>
        <v/>
      </c>
      <c r="L17" s="38" t="str">
        <f>IF(Data!BE16="","",MID(Data!BE16,6,80))</f>
        <v/>
      </c>
      <c r="M17" s="41" t="str">
        <f t="array" ref="M17">bpLOOKUP(Data!$AV16,"FIT",CustOrdOpt,6,FALSE)</f>
        <v/>
      </c>
      <c r="N17" s="89" t="str">
        <f t="array" ref="N17">bpLOOKUP(Data!$AV16,"QTY",CustOrdOpt,6,FALSE)</f>
        <v/>
      </c>
      <c r="O17" s="41" t="str">
        <f t="array" ref="O17">bpLOOKUP(Data!$AV16,"LAYOUT",CustOrdOpt,6,FALSE)</f>
        <v/>
      </c>
      <c r="P17" s="41" t="str">
        <f t="array" ref="P17">bpLOOKUP(Data!$AV16,"TRACKCOLOUR",CustOrdOpt,6,FALSE)</f>
        <v/>
      </c>
      <c r="Q17" s="41" t="str">
        <f t="array" ref="Q17">bpLOOKUP(Data!$AV16,"BRAIL",CustOrdOpt,6,FALSE)</f>
        <v/>
      </c>
      <c r="R17" s="41" t="str" cm="1">
        <f t="array" ref="R17">bpLOOKUP(Data!$AV16,"BRAILC",CustOrdOpt,6,FALSE)</f>
        <v/>
      </c>
      <c r="S17" s="41" t="str">
        <f>IF(Data!AV16="","",IF(T17="","",IF(T17="None","None",'Job Sheet'!C17+VLOOKUP(U17,PelmetAdd,2,FALSE))))</f>
        <v/>
      </c>
      <c r="T17" s="41" t="str">
        <f t="array" ref="T17">bpLOOKUP(Data!$AV16,"PELTYPE",CustOrdOpt,6,FALSE)</f>
        <v/>
      </c>
      <c r="U17" s="41" t="str">
        <f t="array" ref="U17">bpLOOKUP(Data!$AV16,"ADDWIDTH",CustOrdOpt,6,FALSE)</f>
        <v/>
      </c>
      <c r="V17" s="41" t="str">
        <f t="array" ref="V17">bpLOOKUP(Data!$AV16,"PELSHAPE",CustOrdOpt,6,FALSE)</f>
        <v/>
      </c>
      <c r="W17" s="41" t="str">
        <f t="array" ref="W17">bpLOOKUP(Data!$AV16,"ITHGT",CustOrdOpt,6,FALSE)</f>
        <v/>
      </c>
      <c r="X17" s="41" t="str">
        <f t="array" ref="X17">bpLOOKUP(Data!$AV16,"PELRETURN",CustOrdOpt,6,FALSE)</f>
        <v/>
      </c>
      <c r="Y17" s="41" t="str">
        <f t="array" ref="Y17">bpLOOKUP(Data!$AV16,"PELRETURNSIZE",CustOrdOpt,6,FALSE)</f>
        <v/>
      </c>
      <c r="Z17" s="41" t="str">
        <f t="array" ref="Z17">bpLOOKUP(Data!$AV16,"HBSIZE",CustOrdOpt,6,FALSE)</f>
        <v/>
      </c>
      <c r="AA17" s="41" t="str">
        <f t="array" ref="AA17">bpLOOKUP(Data!$AV16,"PIPING",CustOrdOpt,6,FALSE)</f>
        <v/>
      </c>
      <c r="AB17" s="41" t="str">
        <f t="array" ref="AB17">bpLOOKUP(Data!$AV16,"INSTALLATION",CustOrdOpt,6,FALSE)</f>
        <v/>
      </c>
      <c r="AC17" s="41" t="str">
        <f t="array" ref="AC17">bpLOOKUP(Data!$AV16,"Notes",CustOrdOpt,6,FALSE)</f>
        <v/>
      </c>
      <c r="AE17" s="50" t="str">
        <f>IF(Data!AW16="","",J17-40)</f>
        <v/>
      </c>
      <c r="AF17" s="73" t="str">
        <f>IF(Data!AW16="","",(J17+70+((N17-2)*70))/N17+2)</f>
        <v/>
      </c>
      <c r="AG17" s="73" t="str">
        <f>IF(Data!AW16="","",IF(Q17="Plain Finish",AF17-9,AF17))</f>
        <v/>
      </c>
      <c r="AH17" s="73" t="str">
        <f>IF(Data!AW16="","",AF17-2)</f>
        <v/>
      </c>
      <c r="AI17" s="73" t="str">
        <f>IF(Data!AX16="","",IF(Q17="Plain Finish",K17+29,IF(Q17="Bottom Rail in Pocket",K17+42,K17-25)))</f>
        <v/>
      </c>
      <c r="AJ17" s="73" t="str">
        <f>IF(Data!AV16="","",VLOOKUP(L17,ColourMatch,2,FALSE))</f>
        <v/>
      </c>
    </row>
    <row r="18" spans="1:36" s="39" customFormat="1" ht="60" customHeight="1">
      <c r="A18" s="78">
        <f>Data!AW17</f>
        <v>0</v>
      </c>
      <c r="B18" s="38">
        <f>Data!AY17</f>
        <v>0</v>
      </c>
      <c r="C18" s="101">
        <f>SUM(Data!BA17)</f>
        <v>0</v>
      </c>
      <c r="D18" s="101">
        <f>Data!BB17</f>
        <v>0</v>
      </c>
      <c r="E18" s="93" t="str">
        <f t="array" ref="E18">bpLOOKUP(Data!$AV17,"Size",CustOrdOpt,6,FALSE)</f>
        <v/>
      </c>
      <c r="F18" s="94" t="str">
        <f t="array" ref="F18">bpLOOKUP(Data!$AV17,"MEASURED AS",CustOrdOpt,6,FALSE)</f>
        <v/>
      </c>
      <c r="G18" s="94" t="str">
        <f t="array" ref="G18">bpLOOKUP(Data!$AV17,"FLOORING",CustOrdOpt,6,FALSE)</f>
        <v/>
      </c>
      <c r="H18" s="94" t="str">
        <f t="array" ref="H18">bpLOOKUP(Data!$AV17,"HEIGHT OFF FLOOR",CustOrdOpt,6,FALSE)</f>
        <v/>
      </c>
      <c r="I18" s="95" t="str">
        <f t="array" ref="I18">bpLOOKUP(Data!$AV17,"SIDEBYSIDE",CustOrdOpt,6,FALSE)</f>
        <v/>
      </c>
      <c r="J18" s="45" t="str">
        <f>IF(Data!BA17="","",IF(E18="Cloth",Data!BA17+VLOOKUP(N18,CONTROLDEDUCT,2,FALSE)-VLOOKUP(M18,FitDeduct,2,FALSE)-VLOOKUP(I18,SideDeduct,2,FALSE),IF(E18="Opening",Data!BA17-VLOOKUP(M18,FitDeduct,2,FALSE)-VLOOKUP(I18,SideDeduct,2,FALSE),IF(E18="Making",Data!BA17))))</f>
        <v/>
      </c>
      <c r="K18" s="45" t="str">
        <f>IF(Data!AX17="","",D18-VLOOKUP('Job Sheet'!G18,Flooring,2,FALSE)-VLOOKUP('Job Sheet'!H18,Height,2,FALSE))</f>
        <v/>
      </c>
      <c r="L18" s="38" t="str">
        <f>IF(Data!BE17="","",MID(Data!BE17,6,80))</f>
        <v/>
      </c>
      <c r="M18" s="41" t="str">
        <f t="array" ref="M18">bpLOOKUP(Data!$AV17,"FIT",CustOrdOpt,6,FALSE)</f>
        <v/>
      </c>
      <c r="N18" s="89" t="str">
        <f t="array" ref="N18">bpLOOKUP(Data!$AV17,"QTY",CustOrdOpt,6,FALSE)</f>
        <v/>
      </c>
      <c r="O18" s="41" t="str">
        <f t="array" ref="O18">bpLOOKUP(Data!$AV17,"LAYOUT",CustOrdOpt,6,FALSE)</f>
        <v/>
      </c>
      <c r="P18" s="41" t="str">
        <f t="array" ref="P18">bpLOOKUP(Data!$AV17,"TRACKCOLOUR",CustOrdOpt,6,FALSE)</f>
        <v/>
      </c>
      <c r="Q18" s="41" t="str">
        <f t="array" ref="Q18">bpLOOKUP(Data!$AV17,"BRAIL",CustOrdOpt,6,FALSE)</f>
        <v/>
      </c>
      <c r="R18" s="41" t="str" cm="1">
        <f t="array" ref="R18">bpLOOKUP(Data!$AV17,"BRAILC",CustOrdOpt,6,FALSE)</f>
        <v/>
      </c>
      <c r="S18" s="41" t="str">
        <f>IF(Data!AV17="","",IF(T18="","",IF(T18="None","None",'Job Sheet'!C18+VLOOKUP(U18,PelmetAdd,2,FALSE))))</f>
        <v/>
      </c>
      <c r="T18" s="41" t="str">
        <f t="array" ref="T18">bpLOOKUP(Data!$AV17,"PELTYPE",CustOrdOpt,6,FALSE)</f>
        <v/>
      </c>
      <c r="U18" s="41" t="str">
        <f t="array" ref="U18">bpLOOKUP(Data!$AV17,"ADDWIDTH",CustOrdOpt,6,FALSE)</f>
        <v/>
      </c>
      <c r="V18" s="41" t="str">
        <f t="array" ref="V18">bpLOOKUP(Data!$AV17,"PELSHAPE",CustOrdOpt,6,FALSE)</f>
        <v/>
      </c>
      <c r="W18" s="41" t="str">
        <f t="array" ref="W18">bpLOOKUP(Data!$AV17,"ITHGT",CustOrdOpt,6,FALSE)</f>
        <v/>
      </c>
      <c r="X18" s="41" t="str">
        <f t="array" ref="X18">bpLOOKUP(Data!$AV17,"PELRETURN",CustOrdOpt,6,FALSE)</f>
        <v/>
      </c>
      <c r="Y18" s="41" t="str">
        <f t="array" ref="Y18">bpLOOKUP(Data!$AV17,"PELRETURNSIZE",CustOrdOpt,6,FALSE)</f>
        <v/>
      </c>
      <c r="Z18" s="41" t="str">
        <f t="array" ref="Z18">bpLOOKUP(Data!$AV17,"HBSIZE",CustOrdOpt,6,FALSE)</f>
        <v/>
      </c>
      <c r="AA18" s="41" t="str">
        <f t="array" ref="AA18">bpLOOKUP(Data!$AV17,"PIPING",CustOrdOpt,6,FALSE)</f>
        <v/>
      </c>
      <c r="AB18" s="41" t="str">
        <f t="array" ref="AB18">bpLOOKUP(Data!$AV17,"INSTALLATION",CustOrdOpt,6,FALSE)</f>
        <v/>
      </c>
      <c r="AC18" s="41" t="str">
        <f t="array" ref="AC18">bpLOOKUP(Data!$AV17,"Notes",CustOrdOpt,6,FALSE)</f>
        <v/>
      </c>
      <c r="AE18" s="50" t="str">
        <f>IF(Data!AW17="","",J18-40)</f>
        <v/>
      </c>
      <c r="AF18" s="73" t="str">
        <f>IF(Data!AW17="","",(J18+70+((N18-2)*70))/N18+2)</f>
        <v/>
      </c>
      <c r="AG18" s="73" t="str">
        <f>IF(Data!AW17="","",IF(Q18="Plain Finish",AF18-9,AF18))</f>
        <v/>
      </c>
      <c r="AH18" s="73" t="str">
        <f>IF(Data!AW17="","",AF18-2)</f>
        <v/>
      </c>
      <c r="AI18" s="73" t="str">
        <f>IF(Data!AX17="","",IF(Q18="Plain Finish",K18+29,IF(Q18="Bottom Rail in Pocket",K18+42,K18-25)))</f>
        <v/>
      </c>
      <c r="AJ18" s="73" t="str">
        <f>IF(Data!AV17="","",VLOOKUP(L18,ColourMatch,2,FALSE))</f>
        <v/>
      </c>
    </row>
    <row r="19" spans="1:36" s="39" customFormat="1" ht="60" customHeight="1">
      <c r="A19" s="78">
        <f>Data!AW18</f>
        <v>0</v>
      </c>
      <c r="B19" s="38">
        <f>Data!AY18</f>
        <v>0</v>
      </c>
      <c r="C19" s="101">
        <f>SUM(Data!BA18)</f>
        <v>0</v>
      </c>
      <c r="D19" s="101">
        <f>Data!BB18</f>
        <v>0</v>
      </c>
      <c r="E19" s="93" t="str">
        <f t="array" ref="E19">bpLOOKUP(Data!$AV18,"Size",CustOrdOpt,6,FALSE)</f>
        <v/>
      </c>
      <c r="F19" s="94" t="str">
        <f t="array" ref="F19">bpLOOKUP(Data!$AV18,"MEASURED AS",CustOrdOpt,6,FALSE)</f>
        <v/>
      </c>
      <c r="G19" s="94" t="str">
        <f t="array" ref="G19">bpLOOKUP(Data!$AV18,"FLOORING",CustOrdOpt,6,FALSE)</f>
        <v/>
      </c>
      <c r="H19" s="94" t="str">
        <f t="array" ref="H19">bpLOOKUP(Data!$AV18,"HEIGHT OFF FLOOR",CustOrdOpt,6,FALSE)</f>
        <v/>
      </c>
      <c r="I19" s="95" t="str">
        <f t="array" ref="I19">bpLOOKUP(Data!$AV18,"SIDEBYSIDE",CustOrdOpt,6,FALSE)</f>
        <v/>
      </c>
      <c r="J19" s="45" t="str">
        <f>IF(Data!BA18="","",IF(E19="Cloth",Data!BA18+VLOOKUP(N19,CONTROLDEDUCT,2,FALSE)-VLOOKUP(M19,FitDeduct,2,FALSE)-VLOOKUP(I19,SideDeduct,2,FALSE),IF(E19="Opening",Data!BA18-VLOOKUP(M19,FitDeduct,2,FALSE)-VLOOKUP(I19,SideDeduct,2,FALSE),IF(E19="Making",Data!BA18))))</f>
        <v/>
      </c>
      <c r="K19" s="45" t="str">
        <f>IF(Data!AX18="","",D19-VLOOKUP('Job Sheet'!G19,Flooring,2,FALSE)-VLOOKUP('Job Sheet'!H19,Height,2,FALSE))</f>
        <v/>
      </c>
      <c r="L19" s="38" t="str">
        <f>IF(Data!BE18="","",MID(Data!BE18,6,80))</f>
        <v/>
      </c>
      <c r="M19" s="41" t="str">
        <f t="array" ref="M19">bpLOOKUP(Data!$AV18,"FIT",CustOrdOpt,6,FALSE)</f>
        <v/>
      </c>
      <c r="N19" s="89" t="str">
        <f t="array" ref="N19">bpLOOKUP(Data!$AV18,"QTY",CustOrdOpt,6,FALSE)</f>
        <v/>
      </c>
      <c r="O19" s="41" t="str">
        <f t="array" ref="O19">bpLOOKUP(Data!$AV18,"LAYOUT",CustOrdOpt,6,FALSE)</f>
        <v/>
      </c>
      <c r="P19" s="41" t="str">
        <f t="array" ref="P19">bpLOOKUP(Data!$AV18,"TRACKCOLOUR",CustOrdOpt,6,FALSE)</f>
        <v/>
      </c>
      <c r="Q19" s="41" t="str">
        <f t="array" ref="Q19">bpLOOKUP(Data!$AV18,"BRAIL",CustOrdOpt,6,FALSE)</f>
        <v/>
      </c>
      <c r="R19" s="41" t="str" cm="1">
        <f t="array" ref="R19">bpLOOKUP(Data!$AV18,"BRAILC",CustOrdOpt,6,FALSE)</f>
        <v/>
      </c>
      <c r="S19" s="41" t="str">
        <f>IF(Data!AV18="","",IF(T19="","",IF(T19="None","None",'Job Sheet'!C19+VLOOKUP(U19,PelmetAdd,2,FALSE))))</f>
        <v/>
      </c>
      <c r="T19" s="41" t="str">
        <f t="array" ref="T19">bpLOOKUP(Data!$AV18,"PELTYPE",CustOrdOpt,6,FALSE)</f>
        <v/>
      </c>
      <c r="U19" s="41" t="str">
        <f t="array" ref="U19">bpLOOKUP(Data!$AV18,"ADDWIDTH",CustOrdOpt,6,FALSE)</f>
        <v/>
      </c>
      <c r="V19" s="41" t="str">
        <f t="array" ref="V19">bpLOOKUP(Data!$AV18,"PELSHAPE",CustOrdOpt,6,FALSE)</f>
        <v/>
      </c>
      <c r="W19" s="41" t="str">
        <f t="array" ref="W19">bpLOOKUP(Data!$AV18,"ITHGT",CustOrdOpt,6,FALSE)</f>
        <v/>
      </c>
      <c r="X19" s="41" t="str">
        <f t="array" ref="X19">bpLOOKUP(Data!$AV18,"PELRETURN",CustOrdOpt,6,FALSE)</f>
        <v/>
      </c>
      <c r="Y19" s="41" t="str">
        <f t="array" ref="Y19">bpLOOKUP(Data!$AV18,"PELRETURNSIZE",CustOrdOpt,6,FALSE)</f>
        <v/>
      </c>
      <c r="Z19" s="41" t="str">
        <f t="array" ref="Z19">bpLOOKUP(Data!$AV18,"HBSIZE",CustOrdOpt,6,FALSE)</f>
        <v/>
      </c>
      <c r="AA19" s="41" t="str">
        <f t="array" ref="AA19">bpLOOKUP(Data!$AV18,"PIPING",CustOrdOpt,6,FALSE)</f>
        <v/>
      </c>
      <c r="AB19" s="41" t="str">
        <f t="array" ref="AB19">bpLOOKUP(Data!$AV18,"INSTALLATION",CustOrdOpt,6,FALSE)</f>
        <v/>
      </c>
      <c r="AC19" s="41" t="str">
        <f t="array" ref="AC19">bpLOOKUP(Data!$AV18,"Notes",CustOrdOpt,6,FALSE)</f>
        <v/>
      </c>
      <c r="AE19" s="50" t="str">
        <f>IF(Data!AW18="","",J19-40)</f>
        <v/>
      </c>
      <c r="AF19" s="73" t="str">
        <f>IF(Data!AW18="","",(J19+70+((N19-2)*70))/N19+2)</f>
        <v/>
      </c>
      <c r="AG19" s="73" t="str">
        <f>IF(Data!AW18="","",IF(Q19="Plain Finish",AF19-9,AF19))</f>
        <v/>
      </c>
      <c r="AH19" s="73" t="str">
        <f>IF(Data!AW18="","",AF19-2)</f>
        <v/>
      </c>
      <c r="AI19" s="73" t="str">
        <f>IF(Data!AX18="","",IF(Q19="Plain Finish",K19+29,IF(Q19="Bottom Rail in Pocket",K19+42,K19-25)))</f>
        <v/>
      </c>
      <c r="AJ19" s="73" t="str">
        <f>IF(Data!AV18="","",VLOOKUP(L19,ColourMatch,2,FALSE))</f>
        <v/>
      </c>
    </row>
    <row r="20" spans="1:36" s="39" customFormat="1" ht="60" customHeight="1">
      <c r="A20" s="78">
        <f>Data!AW19</f>
        <v>0</v>
      </c>
      <c r="B20" s="38">
        <f>Data!AY19</f>
        <v>0</v>
      </c>
      <c r="C20" s="101">
        <f>SUM(Data!BA19)</f>
        <v>0</v>
      </c>
      <c r="D20" s="101">
        <f>Data!BB19</f>
        <v>0</v>
      </c>
      <c r="E20" s="93" t="str">
        <f t="array" ref="E20">bpLOOKUP(Data!$AV19,"Size",CustOrdOpt,6,FALSE)</f>
        <v/>
      </c>
      <c r="F20" s="94" t="str">
        <f t="array" ref="F20">bpLOOKUP(Data!$AV19,"MEASURED AS",CustOrdOpt,6,FALSE)</f>
        <v/>
      </c>
      <c r="G20" s="94" t="str">
        <f t="array" ref="G20">bpLOOKUP(Data!$AV19,"FLOORING",CustOrdOpt,6,FALSE)</f>
        <v/>
      </c>
      <c r="H20" s="94" t="str">
        <f t="array" ref="H20">bpLOOKUP(Data!$AV19,"HEIGHT OFF FLOOR",CustOrdOpt,6,FALSE)</f>
        <v/>
      </c>
      <c r="I20" s="95" t="str">
        <f t="array" ref="I20">bpLOOKUP(Data!$AV19,"SIDEBYSIDE",CustOrdOpt,6,FALSE)</f>
        <v/>
      </c>
      <c r="J20" s="45" t="str">
        <f>IF(Data!BA19="","",IF(E20="Cloth",Data!BA19+VLOOKUP(N20,CONTROLDEDUCT,2,FALSE)-VLOOKUP(M20,FitDeduct,2,FALSE)-VLOOKUP(I20,SideDeduct,2,FALSE),IF(E20="Opening",Data!BA19-VLOOKUP(M20,FitDeduct,2,FALSE)-VLOOKUP(I20,SideDeduct,2,FALSE),IF(E20="Making",Data!BA19))))</f>
        <v/>
      </c>
      <c r="K20" s="45" t="str">
        <f>IF(Data!AX19="","",D20-VLOOKUP('Job Sheet'!G20,Flooring,2,FALSE)-VLOOKUP('Job Sheet'!H20,Height,2,FALSE))</f>
        <v/>
      </c>
      <c r="L20" s="38" t="str">
        <f>IF(Data!BE19="","",MID(Data!BE19,6,80))</f>
        <v/>
      </c>
      <c r="M20" s="41" t="str">
        <f t="array" ref="M20">bpLOOKUP(Data!$AV19,"FIT",CustOrdOpt,6,FALSE)</f>
        <v/>
      </c>
      <c r="N20" s="89" t="str">
        <f t="array" ref="N20">bpLOOKUP(Data!$AV19,"QTY",CustOrdOpt,6,FALSE)</f>
        <v/>
      </c>
      <c r="O20" s="41" t="str">
        <f t="array" ref="O20">bpLOOKUP(Data!$AV19,"LAYOUT",CustOrdOpt,6,FALSE)</f>
        <v/>
      </c>
      <c r="P20" s="41" t="str">
        <f t="array" ref="P20">bpLOOKUP(Data!$AV19,"TRACKCOLOUR",CustOrdOpt,6,FALSE)</f>
        <v/>
      </c>
      <c r="Q20" s="41" t="str">
        <f t="array" ref="Q20">bpLOOKUP(Data!$AV19,"BRAIL",CustOrdOpt,6,FALSE)</f>
        <v/>
      </c>
      <c r="R20" s="41" t="str" cm="1">
        <f t="array" ref="R20">bpLOOKUP(Data!$AV19,"BRAILC",CustOrdOpt,6,FALSE)</f>
        <v/>
      </c>
      <c r="S20" s="41" t="str">
        <f>IF(Data!AV19="","",IF(T20="","",IF(T20="None","None",'Job Sheet'!C20+VLOOKUP(U20,PelmetAdd,2,FALSE))))</f>
        <v/>
      </c>
      <c r="T20" s="41" t="str">
        <f t="array" ref="T20">bpLOOKUP(Data!$AV19,"PELTYPE",CustOrdOpt,6,FALSE)</f>
        <v/>
      </c>
      <c r="U20" s="41" t="str">
        <f t="array" ref="U20">bpLOOKUP(Data!$AV19,"ADDWIDTH",CustOrdOpt,6,FALSE)</f>
        <v/>
      </c>
      <c r="V20" s="41" t="str">
        <f t="array" ref="V20">bpLOOKUP(Data!$AV19,"PELSHAPE",CustOrdOpt,6,FALSE)</f>
        <v/>
      </c>
      <c r="W20" s="41" t="str">
        <f t="array" ref="W20">bpLOOKUP(Data!$AV19,"ITHGT",CustOrdOpt,6,FALSE)</f>
        <v/>
      </c>
      <c r="X20" s="41" t="str">
        <f t="array" ref="X20">bpLOOKUP(Data!$AV19,"PELRETURN",CustOrdOpt,6,FALSE)</f>
        <v/>
      </c>
      <c r="Y20" s="41" t="str">
        <f t="array" ref="Y20">bpLOOKUP(Data!$AV19,"PELRETURNSIZE",CustOrdOpt,6,FALSE)</f>
        <v/>
      </c>
      <c r="Z20" s="41" t="str">
        <f t="array" ref="Z20">bpLOOKUP(Data!$AV19,"HBSIZE",CustOrdOpt,6,FALSE)</f>
        <v/>
      </c>
      <c r="AA20" s="41" t="str">
        <f t="array" ref="AA20">bpLOOKUP(Data!$AV19,"PIPING",CustOrdOpt,6,FALSE)</f>
        <v/>
      </c>
      <c r="AB20" s="41" t="str">
        <f t="array" ref="AB20">bpLOOKUP(Data!$AV19,"INSTALLATION",CustOrdOpt,6,FALSE)</f>
        <v/>
      </c>
      <c r="AC20" s="41" t="str">
        <f t="array" ref="AC20">bpLOOKUP(Data!$AV19,"Notes",CustOrdOpt,6,FALSE)</f>
        <v/>
      </c>
      <c r="AE20" s="50" t="str">
        <f>IF(Data!AW19="","",J20-40)</f>
        <v/>
      </c>
      <c r="AF20" s="73" t="str">
        <f>IF(Data!AW19="","",(J20+70+((N20-2)*70))/N20+2)</f>
        <v/>
      </c>
      <c r="AG20" s="73" t="str">
        <f>IF(Data!AW19="","",IF(Q20="Plain Finish",AF20-9,AF20))</f>
        <v/>
      </c>
      <c r="AH20" s="73" t="str">
        <f>IF(Data!AW19="","",AF20-2)</f>
        <v/>
      </c>
      <c r="AI20" s="73" t="str">
        <f>IF(Data!AX19="","",IF(Q20="Plain Finish",K20+29,IF(Q20="Bottom Rail in Pocket",K20+42,K20-25)))</f>
        <v/>
      </c>
      <c r="AJ20" s="73" t="str">
        <f>IF(Data!AV19="","",VLOOKUP(L20,ColourMatch,2,FALSE))</f>
        <v/>
      </c>
    </row>
    <row r="21" spans="1:36" s="39" customFormat="1" ht="60" customHeight="1">
      <c r="A21" s="78">
        <f>Data!AW20</f>
        <v>0</v>
      </c>
      <c r="B21" s="38">
        <f>Data!AY20</f>
        <v>0</v>
      </c>
      <c r="C21" s="101">
        <f>SUM(Data!BA20)</f>
        <v>0</v>
      </c>
      <c r="D21" s="101">
        <f>Data!BB20</f>
        <v>0</v>
      </c>
      <c r="E21" s="93" t="str">
        <f t="array" ref="E21">bpLOOKUP(Data!$AV20,"Size",CustOrdOpt,6,FALSE)</f>
        <v/>
      </c>
      <c r="F21" s="94" t="str">
        <f t="array" ref="F21">bpLOOKUP(Data!$AV20,"MEASURED AS",CustOrdOpt,6,FALSE)</f>
        <v/>
      </c>
      <c r="G21" s="94" t="str">
        <f t="array" ref="G21">bpLOOKUP(Data!$AV20,"FLOORING",CustOrdOpt,6,FALSE)</f>
        <v/>
      </c>
      <c r="H21" s="94" t="str">
        <f t="array" ref="H21">bpLOOKUP(Data!$AV20,"HEIGHT OFF FLOOR",CustOrdOpt,6,FALSE)</f>
        <v/>
      </c>
      <c r="I21" s="95" t="str">
        <f t="array" ref="I21">bpLOOKUP(Data!$AV20,"SIDEBYSIDE",CustOrdOpt,6,FALSE)</f>
        <v/>
      </c>
      <c r="J21" s="45" t="str">
        <f>IF(Data!BA20="","",IF(E21="Cloth",Data!BA20+VLOOKUP(N21,CONTROLDEDUCT,2,FALSE)-VLOOKUP(M21,FitDeduct,2,FALSE)-VLOOKUP(I21,SideDeduct,2,FALSE),IF(E21="Opening",Data!BA20-VLOOKUP(M21,FitDeduct,2,FALSE)-VLOOKUP(I21,SideDeduct,2,FALSE),IF(E21="Making",Data!BA20))))</f>
        <v/>
      </c>
      <c r="K21" s="45" t="str">
        <f>IF(Data!AX20="","",D21-VLOOKUP('Job Sheet'!G21,Flooring,2,FALSE)-VLOOKUP('Job Sheet'!H21,Height,2,FALSE))</f>
        <v/>
      </c>
      <c r="L21" s="38" t="str">
        <f>IF(Data!BE20="","",MID(Data!BE20,6,80))</f>
        <v/>
      </c>
      <c r="M21" s="41" t="str">
        <f t="array" ref="M21">bpLOOKUP(Data!$AV20,"FIT",CustOrdOpt,6,FALSE)</f>
        <v/>
      </c>
      <c r="N21" s="89" t="str">
        <f t="array" ref="N21">bpLOOKUP(Data!$AV20,"QTY",CustOrdOpt,6,FALSE)</f>
        <v/>
      </c>
      <c r="O21" s="41" t="str">
        <f t="array" ref="O21">bpLOOKUP(Data!$AV20,"LAYOUT",CustOrdOpt,6,FALSE)</f>
        <v/>
      </c>
      <c r="P21" s="41" t="str">
        <f t="array" ref="P21">bpLOOKUP(Data!$AV20,"TRACKCOLOUR",CustOrdOpt,6,FALSE)</f>
        <v/>
      </c>
      <c r="Q21" s="41" t="str">
        <f t="array" ref="Q21">bpLOOKUP(Data!$AV20,"BRAIL",CustOrdOpt,6,FALSE)</f>
        <v/>
      </c>
      <c r="R21" s="41" t="str" cm="1">
        <f t="array" ref="R21">bpLOOKUP(Data!$AV20,"BRAILC",CustOrdOpt,6,FALSE)</f>
        <v/>
      </c>
      <c r="S21" s="41" t="str">
        <f>IF(Data!AV20="","",IF(T21="","",IF(T21="None","None",'Job Sheet'!C21+VLOOKUP(U21,PelmetAdd,2,FALSE))))</f>
        <v/>
      </c>
      <c r="T21" s="41" t="str">
        <f t="array" ref="T21">bpLOOKUP(Data!$AV20,"PELTYPE",CustOrdOpt,6,FALSE)</f>
        <v/>
      </c>
      <c r="U21" s="41" t="str">
        <f t="array" ref="U21">bpLOOKUP(Data!$AV20,"ADDWIDTH",CustOrdOpt,6,FALSE)</f>
        <v/>
      </c>
      <c r="V21" s="41" t="str">
        <f t="array" ref="V21">bpLOOKUP(Data!$AV20,"PELSHAPE",CustOrdOpt,6,FALSE)</f>
        <v/>
      </c>
      <c r="W21" s="41" t="str">
        <f t="array" ref="W21">bpLOOKUP(Data!$AV20,"ITHGT",CustOrdOpt,6,FALSE)</f>
        <v/>
      </c>
      <c r="X21" s="41" t="str">
        <f t="array" ref="X21">bpLOOKUP(Data!$AV20,"PELRETURN",CustOrdOpt,6,FALSE)</f>
        <v/>
      </c>
      <c r="Y21" s="41" t="str">
        <f t="array" ref="Y21">bpLOOKUP(Data!$AV20,"PELRETURNSIZE",CustOrdOpt,6,FALSE)</f>
        <v/>
      </c>
      <c r="Z21" s="41" t="str">
        <f t="array" ref="Z21">bpLOOKUP(Data!$AV20,"HBSIZE",CustOrdOpt,6,FALSE)</f>
        <v/>
      </c>
      <c r="AA21" s="41" t="str">
        <f t="array" ref="AA21">bpLOOKUP(Data!$AV20,"PIPING",CustOrdOpt,6,FALSE)</f>
        <v/>
      </c>
      <c r="AB21" s="41" t="str">
        <f t="array" ref="AB21">bpLOOKUP(Data!$AV20,"INSTALLATION",CustOrdOpt,6,FALSE)</f>
        <v/>
      </c>
      <c r="AC21" s="41" t="str">
        <f t="array" ref="AC21">bpLOOKUP(Data!$AV20,"Notes",CustOrdOpt,6,FALSE)</f>
        <v/>
      </c>
      <c r="AE21" s="50" t="str">
        <f>IF(Data!AW20="","",J21-40)</f>
        <v/>
      </c>
      <c r="AF21" s="73" t="str">
        <f>IF(Data!AW20="","",(J21+70+((N21-2)*70))/N21+2)</f>
        <v/>
      </c>
      <c r="AG21" s="73" t="str">
        <f>IF(Data!AW20="","",IF(Q21="Plain Finish",AF21-9,AF21))</f>
        <v/>
      </c>
      <c r="AH21" s="73" t="str">
        <f>IF(Data!AW20="","",AF21-2)</f>
        <v/>
      </c>
      <c r="AI21" s="73" t="str">
        <f>IF(Data!AX20="","",IF(Q21="Plain Finish",K21+29,IF(Q21="Bottom Rail in Pocket",K21+42,K21-25)))</f>
        <v/>
      </c>
      <c r="AJ21" s="73" t="str">
        <f>IF(Data!AV20="","",VLOOKUP(L21,ColourMatch,2,FALSE))</f>
        <v/>
      </c>
    </row>
    <row r="22" spans="1:36" ht="105" customHeight="1"/>
    <row r="23" spans="1:36" ht="105" customHeight="1"/>
    <row r="24" spans="1:36" ht="105" customHeight="1"/>
    <row r="25" spans="1:36" ht="105" customHeight="1"/>
    <row r="26" spans="1:36" ht="105" customHeight="1"/>
    <row r="27" spans="1:36" ht="105" customHeight="1"/>
    <row r="28" spans="1:36" ht="105" customHeight="1"/>
    <row r="29" spans="1:36" ht="105" customHeight="1"/>
    <row r="30" spans="1:36" ht="105" customHeight="1"/>
    <row r="31" spans="1:36" ht="105" customHeight="1"/>
    <row r="32" spans="1:36" ht="105" customHeight="1"/>
    <row r="33" ht="105" customHeight="1"/>
    <row r="34" ht="105" customHeight="1"/>
    <row r="35" ht="105" customHeight="1"/>
    <row r="36" ht="105" customHeight="1"/>
    <row r="37" ht="105" customHeight="1"/>
    <row r="38" ht="105" customHeight="1"/>
    <row r="39" ht="105" customHeight="1"/>
    <row r="40" ht="105" customHeight="1"/>
    <row r="41" ht="105" customHeight="1"/>
    <row r="42" ht="105" customHeight="1"/>
    <row r="43" ht="105" customHeight="1"/>
    <row r="44" ht="105" customHeight="1"/>
    <row r="45" ht="105" customHeight="1"/>
    <row r="46" ht="105" customHeight="1"/>
    <row r="47" ht="105" customHeight="1"/>
    <row r="48" ht="105" customHeight="1"/>
    <row r="49" ht="105" customHeight="1"/>
    <row r="50" ht="105" customHeight="1"/>
    <row r="51" ht="105" customHeight="1"/>
    <row r="52" ht="105" customHeight="1"/>
    <row r="53" ht="105" customHeight="1"/>
    <row r="54" ht="105" customHeight="1"/>
    <row r="55" ht="105" customHeight="1"/>
    <row r="56" ht="105" customHeight="1"/>
    <row r="57" ht="105" customHeight="1"/>
    <row r="58" ht="105" customHeight="1"/>
    <row r="59" ht="105" customHeight="1"/>
    <row r="60" ht="105" customHeight="1"/>
    <row r="61" ht="105" customHeight="1"/>
    <row r="62" ht="105" customHeight="1"/>
    <row r="63" ht="105" customHeight="1"/>
    <row r="64" ht="105" customHeight="1"/>
    <row r="65" ht="105" customHeight="1"/>
    <row r="66" ht="105" customHeight="1"/>
    <row r="67" ht="105" customHeight="1"/>
    <row r="68" ht="105" customHeight="1"/>
    <row r="69" ht="105" customHeight="1"/>
    <row r="70" ht="105" customHeight="1"/>
    <row r="71" ht="105" customHeight="1"/>
    <row r="72" ht="105" customHeight="1"/>
    <row r="73" ht="105" customHeight="1"/>
    <row r="74" ht="105" customHeight="1"/>
    <row r="75" ht="105" customHeight="1"/>
    <row r="76" ht="105" customHeight="1"/>
    <row r="77" ht="105" customHeight="1"/>
    <row r="78" ht="105" customHeight="1"/>
    <row r="79" ht="105" customHeight="1"/>
    <row r="80" ht="105" customHeight="1"/>
    <row r="81" ht="105" customHeight="1"/>
    <row r="82" ht="105" customHeight="1"/>
    <row r="83" ht="105" customHeight="1"/>
    <row r="84" ht="105" customHeight="1"/>
    <row r="85" ht="105" customHeight="1"/>
    <row r="86" ht="105" customHeight="1"/>
    <row r="87" ht="105" customHeight="1"/>
    <row r="88" ht="105" customHeight="1"/>
    <row r="89" ht="105" customHeight="1"/>
    <row r="90" ht="105" customHeight="1"/>
    <row r="91" ht="105" customHeight="1"/>
    <row r="92" ht="105" customHeight="1"/>
    <row r="93" ht="105" customHeight="1"/>
    <row r="94" ht="105" customHeight="1"/>
    <row r="95" ht="105" customHeight="1"/>
    <row r="96" ht="105" customHeight="1"/>
    <row r="97" ht="105" customHeight="1"/>
    <row r="98" ht="105" customHeight="1"/>
    <row r="99" ht="105" customHeight="1"/>
    <row r="100" ht="105" customHeight="1"/>
    <row r="101" ht="105" customHeight="1"/>
    <row r="102" ht="105" customHeight="1"/>
    <row r="103" ht="105" customHeight="1"/>
    <row r="104" ht="105" customHeight="1"/>
    <row r="105" ht="105" customHeight="1"/>
    <row r="106" ht="105" customHeight="1"/>
    <row r="107" ht="105" customHeight="1"/>
  </sheetData>
  <sheetProtection formatCells="0" formatRows="0" insertColumns="0" insertRows="0"/>
  <mergeCells count="57">
    <mergeCell ref="AI9:AI11"/>
    <mergeCell ref="Q9:Q11"/>
    <mergeCell ref="AG9:AG11"/>
    <mergeCell ref="AC9:AC11"/>
    <mergeCell ref="AB9:AB11"/>
    <mergeCell ref="AE9:AE11"/>
    <mergeCell ref="AF9:AF11"/>
    <mergeCell ref="T9:T11"/>
    <mergeCell ref="AH9:AH11"/>
    <mergeCell ref="S9:S11"/>
    <mergeCell ref="U9:U11"/>
    <mergeCell ref="V9:V11"/>
    <mergeCell ref="W9:W11"/>
    <mergeCell ref="X9:X11"/>
    <mergeCell ref="Y9:Y11"/>
    <mergeCell ref="AA9:AA11"/>
    <mergeCell ref="D9:D11"/>
    <mergeCell ref="H9:H11"/>
    <mergeCell ref="C9:C11"/>
    <mergeCell ref="E9:E11"/>
    <mergeCell ref="N9:N11"/>
    <mergeCell ref="M9:M11"/>
    <mergeCell ref="L9:L11"/>
    <mergeCell ref="A3:C3"/>
    <mergeCell ref="A4:C4"/>
    <mergeCell ref="A5:C5"/>
    <mergeCell ref="A6:C6"/>
    <mergeCell ref="A9:A11"/>
    <mergeCell ref="B9:B11"/>
    <mergeCell ref="M5:S5"/>
    <mergeCell ref="M6:S6"/>
    <mergeCell ref="M7:S7"/>
    <mergeCell ref="M8:S8"/>
    <mergeCell ref="F9:F11"/>
    <mergeCell ref="G9:G11"/>
    <mergeCell ref="I9:I11"/>
    <mergeCell ref="J9:J11"/>
    <mergeCell ref="K9:K11"/>
    <mergeCell ref="P9:P11"/>
    <mergeCell ref="O9:O11"/>
    <mergeCell ref="R9:R11"/>
    <mergeCell ref="AJ9:AJ11"/>
    <mergeCell ref="Z9:Z11"/>
    <mergeCell ref="A2:AC2"/>
    <mergeCell ref="T3:AC3"/>
    <mergeCell ref="T4:AC8"/>
    <mergeCell ref="A7:G8"/>
    <mergeCell ref="D3:G3"/>
    <mergeCell ref="D4:G4"/>
    <mergeCell ref="D5:G5"/>
    <mergeCell ref="D6:G6"/>
    <mergeCell ref="H3:L3"/>
    <mergeCell ref="H4:L4"/>
    <mergeCell ref="H5:L5"/>
    <mergeCell ref="H6:L8"/>
    <mergeCell ref="M3:S3"/>
    <mergeCell ref="M4:S4"/>
  </mergeCells>
  <conditionalFormatting sqref="L12:L21">
    <cfRule type="expression" dxfId="0" priority="1">
      <formula>AJ12=FALSE</formula>
    </cfRule>
  </conditionalFormatting>
  <printOptions horizontalCentered="1"/>
  <pageMargins left="0.23622047244094499" right="0.23622047244094499" top="0.15748031496063" bottom="0.196850393700787" header="0.118110236220472" footer="0.118110236220472"/>
  <pageSetup paperSize="9" scale="22" fitToHeight="0" orientation="landscape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N356"/>
  <sheetViews>
    <sheetView showZeros="0" view="pageBreakPreview" zoomScale="55" zoomScaleNormal="55" zoomScaleSheetLayoutView="55" workbookViewId="0">
      <selection activeCell="E12" sqref="E12"/>
    </sheetView>
  </sheetViews>
  <sheetFormatPr defaultColWidth="9.109375" defaultRowHeight="13.2"/>
  <cols>
    <col min="1" max="1" width="8.88671875" style="75" customWidth="1"/>
    <col min="2" max="2" width="30.109375" style="75" customWidth="1"/>
    <col min="3" max="3" width="53.33203125" style="75" customWidth="1"/>
    <col min="4" max="4" width="20.6640625" style="75" customWidth="1"/>
    <col min="5" max="5" width="20.33203125" style="76" customWidth="1"/>
    <col min="6" max="6" width="19.44140625" style="76" customWidth="1"/>
    <col min="7" max="7" width="15.109375" style="76" customWidth="1"/>
    <col min="8" max="8" width="14.6640625" style="76" customWidth="1"/>
    <col min="9" max="9" width="30.6640625" style="75" customWidth="1"/>
    <col min="10" max="10" width="15.6640625" style="75" customWidth="1"/>
    <col min="11" max="11" width="16.109375" style="75" customWidth="1"/>
    <col min="12" max="12" width="19.33203125" customWidth="1"/>
    <col min="13" max="13" width="67.6640625" customWidth="1"/>
    <col min="14" max="14" width="13.44140625" customWidth="1"/>
  </cols>
  <sheetData>
    <row r="1" spans="1:14" ht="127.8" customHeight="1">
      <c r="A1" s="159" t="s">
        <v>182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</row>
    <row r="2" spans="1:14" ht="49.95" customHeight="1">
      <c r="A2" s="158" t="s">
        <v>7</v>
      </c>
      <c r="B2" s="158"/>
      <c r="C2" s="124"/>
      <c r="D2" s="157" t="s">
        <v>120</v>
      </c>
      <c r="E2" s="157"/>
      <c r="F2" s="150">
        <f>Data!BF5</f>
        <v>0</v>
      </c>
      <c r="G2" s="151"/>
      <c r="H2" s="151"/>
      <c r="I2" s="151"/>
      <c r="J2" s="151"/>
      <c r="K2" s="152"/>
      <c r="L2" s="173" t="s">
        <v>4</v>
      </c>
      <c r="M2" s="174"/>
      <c r="N2" s="175"/>
    </row>
    <row r="3" spans="1:14" ht="49.95" customHeight="1">
      <c r="A3" s="158" t="s">
        <v>145</v>
      </c>
      <c r="B3" s="158"/>
      <c r="C3" s="125">
        <f>Data!BC5</f>
        <v>0</v>
      </c>
      <c r="D3" s="155" t="s">
        <v>8</v>
      </c>
      <c r="E3" s="155"/>
      <c r="F3" s="144">
        <f>Data!AX5</f>
        <v>0</v>
      </c>
      <c r="G3" s="145"/>
      <c r="H3" s="145"/>
      <c r="I3" s="145"/>
      <c r="J3" s="145"/>
      <c r="K3" s="146"/>
      <c r="L3" s="164" t="str">
        <f>TRIM(Data!BG5)</f>
        <v/>
      </c>
      <c r="M3" s="165"/>
      <c r="N3" s="166"/>
    </row>
    <row r="4" spans="1:14" ht="49.95" customHeight="1">
      <c r="A4" s="158" t="s">
        <v>17</v>
      </c>
      <c r="B4" s="158"/>
      <c r="C4" s="125">
        <f>Data!BD5</f>
        <v>0</v>
      </c>
      <c r="D4" s="155" t="s">
        <v>139</v>
      </c>
      <c r="E4" s="155"/>
      <c r="F4" s="141">
        <f>Data!BA5</f>
        <v>0</v>
      </c>
      <c r="G4" s="142"/>
      <c r="H4" s="142"/>
      <c r="I4" s="142"/>
      <c r="J4" s="142"/>
      <c r="K4" s="143"/>
      <c r="L4" s="167"/>
      <c r="M4" s="168"/>
      <c r="N4" s="169"/>
    </row>
    <row r="5" spans="1:14" ht="49.95" customHeight="1">
      <c r="A5" s="153" t="s">
        <v>11</v>
      </c>
      <c r="B5" s="153"/>
      <c r="C5" s="125">
        <f>Data!AY5</f>
        <v>0</v>
      </c>
      <c r="D5" s="156" t="s">
        <v>14</v>
      </c>
      <c r="E5" s="156"/>
      <c r="F5" s="150" t="str">
        <f>TRIM(Data!BF5)</f>
        <v/>
      </c>
      <c r="G5" s="151"/>
      <c r="H5" s="151"/>
      <c r="I5" s="151"/>
      <c r="J5" s="151"/>
      <c r="K5" s="152"/>
      <c r="L5" s="167"/>
      <c r="M5" s="168"/>
      <c r="N5" s="169"/>
    </row>
    <row r="6" spans="1:14" ht="49.95" customHeight="1">
      <c r="A6" s="154">
        <f>Data!CZ5</f>
        <v>0</v>
      </c>
      <c r="B6" s="154"/>
      <c r="C6" s="154"/>
      <c r="D6" s="156"/>
      <c r="E6" s="156"/>
      <c r="F6" s="150" t="str">
        <f>CONCATENATE(Data!BH5," ",Data!BI5," ",Data!BJ5," ",Data!BK5," ",Data!BL5)</f>
        <v xml:space="preserve">    </v>
      </c>
      <c r="G6" s="151"/>
      <c r="H6" s="151"/>
      <c r="I6" s="151"/>
      <c r="J6" s="151"/>
      <c r="K6" s="152"/>
      <c r="L6" s="167"/>
      <c r="M6" s="168"/>
      <c r="N6" s="169"/>
    </row>
    <row r="7" spans="1:14" ht="49.95" customHeight="1">
      <c r="A7" s="154"/>
      <c r="B7" s="154"/>
      <c r="C7" s="154"/>
      <c r="D7" s="156"/>
      <c r="E7" s="156"/>
      <c r="F7" s="147" t="str">
        <f>CONCATENATE(Data!BM5," ",Data!BN5," ",Data!BO5," ",Data!BP5)</f>
        <v xml:space="preserve">   </v>
      </c>
      <c r="G7" s="148"/>
      <c r="H7" s="148"/>
      <c r="I7" s="148"/>
      <c r="J7" s="148"/>
      <c r="K7" s="149"/>
      <c r="L7" s="170"/>
      <c r="M7" s="171"/>
      <c r="N7" s="172"/>
    </row>
    <row r="8" spans="1:14" ht="23.25" customHeight="1">
      <c r="A8" s="161" t="s">
        <v>144</v>
      </c>
      <c r="B8" s="162" t="s">
        <v>122</v>
      </c>
      <c r="C8" s="160" t="s">
        <v>9</v>
      </c>
      <c r="D8" s="153" t="s">
        <v>537</v>
      </c>
      <c r="E8" s="153" t="s">
        <v>2111</v>
      </c>
      <c r="F8" s="160" t="s">
        <v>221</v>
      </c>
      <c r="G8" s="153" t="s">
        <v>153</v>
      </c>
      <c r="H8" s="153" t="s">
        <v>154</v>
      </c>
      <c r="I8" s="162" t="s">
        <v>157</v>
      </c>
      <c r="J8" s="163" t="s">
        <v>141</v>
      </c>
      <c r="K8" s="163" t="s">
        <v>163</v>
      </c>
      <c r="L8" s="163" t="s">
        <v>164</v>
      </c>
      <c r="M8" s="160" t="s">
        <v>5</v>
      </c>
      <c r="N8" s="160" t="s">
        <v>290</v>
      </c>
    </row>
    <row r="9" spans="1:14" ht="67.2" customHeight="1">
      <c r="A9" s="161"/>
      <c r="B9" s="162"/>
      <c r="C9" s="160"/>
      <c r="D9" s="153"/>
      <c r="E9" s="153"/>
      <c r="F9" s="160"/>
      <c r="G9" s="153"/>
      <c r="H9" s="153"/>
      <c r="I9" s="162"/>
      <c r="J9" s="163"/>
      <c r="K9" s="163"/>
      <c r="L9" s="163"/>
      <c r="M9" s="160"/>
      <c r="N9" s="160"/>
    </row>
    <row r="10" spans="1:14" ht="0.75" hidden="1" customHeight="1">
      <c r="A10" s="90"/>
      <c r="B10" s="91"/>
      <c r="C10" s="87"/>
      <c r="D10" s="87"/>
      <c r="E10" s="87"/>
      <c r="F10" s="87"/>
      <c r="G10" s="87"/>
      <c r="H10" s="87"/>
      <c r="I10" s="41" t="str">
        <f t="array" ref="I10">bpLOOKUP(Data!$AV10,"BRAIL",CustOrdOpt,6,FALSE)</f>
        <v/>
      </c>
      <c r="J10" s="92"/>
      <c r="K10" s="92"/>
      <c r="L10" s="92"/>
      <c r="M10" s="87"/>
      <c r="N10" s="42"/>
    </row>
    <row r="11" spans="1:14" ht="60" customHeight="1">
      <c r="A11" s="119">
        <f>'Job Sheet'!A12</f>
        <v>0</v>
      </c>
      <c r="B11" s="123">
        <f>'Job Sheet'!B12</f>
        <v>0</v>
      </c>
      <c r="C11" s="123" t="str">
        <f>'Job Sheet'!L12</f>
        <v/>
      </c>
      <c r="D11" s="132" t="str">
        <f>IF(Data!AV11="","",VLOOKUP(C11,ColourMatch,10,FALSE))</f>
        <v/>
      </c>
      <c r="E11" s="132" t="str">
        <f>IF(Data!AV11="","",VLOOKUP(C11,ColourMatch,9,FALSE))</f>
        <v/>
      </c>
      <c r="F11" s="128" t="str">
        <f>'Job Sheet'!N12</f>
        <v/>
      </c>
      <c r="G11" s="122" t="str">
        <f>'Job Sheet'!AH12</f>
        <v/>
      </c>
      <c r="H11" s="122" t="str">
        <f>'Job Sheet'!AI12</f>
        <v/>
      </c>
      <c r="I11" s="121" t="str">
        <f>'Job Sheet'!Q12</f>
        <v/>
      </c>
      <c r="J11" s="88" t="str">
        <f>IF(Data!AV11="","",VLOOKUP(C11,ColourMatch,11,FALSE))</f>
        <v/>
      </c>
      <c r="K11" s="74"/>
      <c r="L11" s="74"/>
      <c r="M11" s="41" t="str">
        <f>'Job Sheet'!AC12</f>
        <v/>
      </c>
      <c r="N11" s="116">
        <f>A11</f>
        <v>0</v>
      </c>
    </row>
    <row r="12" spans="1:14" ht="60" customHeight="1">
      <c r="A12" s="119">
        <f>'Job Sheet'!A13</f>
        <v>0</v>
      </c>
      <c r="B12" s="123">
        <f>'Job Sheet'!B13</f>
        <v>0</v>
      </c>
      <c r="C12" s="123" t="str">
        <f>'Job Sheet'!L13</f>
        <v/>
      </c>
      <c r="D12" s="132" t="str">
        <f>IF(Data!AV12="","",VLOOKUP(C12,ColourMatch,10,FALSE))</f>
        <v/>
      </c>
      <c r="E12" s="132" t="str">
        <f>IF(Data!AV12="","",VLOOKUP(C12,ColourMatch,9,FALSE))</f>
        <v/>
      </c>
      <c r="F12" s="128" t="str">
        <f>'Job Sheet'!N13</f>
        <v/>
      </c>
      <c r="G12" s="122" t="str">
        <f>'Job Sheet'!AH13</f>
        <v/>
      </c>
      <c r="H12" s="122" t="str">
        <f>'Job Sheet'!AI13</f>
        <v/>
      </c>
      <c r="I12" s="121" t="str">
        <f>'Job Sheet'!Q13</f>
        <v/>
      </c>
      <c r="J12" s="88" t="str">
        <f>IF(Data!AV12="","",VLOOKUP(C12,ColourMatch,11,FALSE))</f>
        <v/>
      </c>
      <c r="K12" s="74"/>
      <c r="L12" s="74"/>
      <c r="M12" s="41" t="str">
        <f>'Job Sheet'!AC13</f>
        <v/>
      </c>
      <c r="N12" s="116">
        <f t="shared" ref="N12:N20" si="0">A12</f>
        <v>0</v>
      </c>
    </row>
    <row r="13" spans="1:14" ht="60" customHeight="1">
      <c r="A13" s="119">
        <f>'Job Sheet'!A14</f>
        <v>0</v>
      </c>
      <c r="B13" s="123">
        <f>'Job Sheet'!B14</f>
        <v>0</v>
      </c>
      <c r="C13" s="123" t="str">
        <f>'Job Sheet'!L14</f>
        <v/>
      </c>
      <c r="D13" s="132" t="str">
        <f>IF(Data!AV13="","",VLOOKUP(C13,ColourMatch,10,FALSE))</f>
        <v/>
      </c>
      <c r="E13" s="132" t="str">
        <f>IF(Data!AV13="","",VLOOKUP(C13,ColourMatch,9,FALSE))</f>
        <v/>
      </c>
      <c r="F13" s="128" t="str">
        <f>'Job Sheet'!N14</f>
        <v/>
      </c>
      <c r="G13" s="122" t="str">
        <f>'Job Sheet'!AH14</f>
        <v/>
      </c>
      <c r="H13" s="122" t="str">
        <f>'Job Sheet'!AI14</f>
        <v/>
      </c>
      <c r="I13" s="121" t="str">
        <f>'Job Sheet'!Q14</f>
        <v/>
      </c>
      <c r="J13" s="88" t="str">
        <f>IF(Data!AV13="","",VLOOKUP(C13,ColourMatch,11,FALSE))</f>
        <v/>
      </c>
      <c r="K13" s="74"/>
      <c r="L13" s="74"/>
      <c r="M13" s="41" t="str">
        <f>'Job Sheet'!AC14</f>
        <v/>
      </c>
      <c r="N13" s="116">
        <f t="shared" si="0"/>
        <v>0</v>
      </c>
    </row>
    <row r="14" spans="1:14" ht="60" customHeight="1">
      <c r="A14" s="119">
        <f>'Job Sheet'!A15</f>
        <v>0</v>
      </c>
      <c r="B14" s="123">
        <f>'Job Sheet'!B15</f>
        <v>0</v>
      </c>
      <c r="C14" s="123" t="str">
        <f>'Job Sheet'!L15</f>
        <v/>
      </c>
      <c r="D14" s="132" t="str">
        <f>IF(Data!AV14="","",VLOOKUP(C14,ColourMatch,10,FALSE))</f>
        <v/>
      </c>
      <c r="E14" s="132" t="str">
        <f>IF(Data!AV14="","",VLOOKUP(C14,ColourMatch,9,FALSE))</f>
        <v/>
      </c>
      <c r="F14" s="128" t="str">
        <f>'Job Sheet'!N15</f>
        <v/>
      </c>
      <c r="G14" s="122" t="str">
        <f>'Job Sheet'!AH15</f>
        <v/>
      </c>
      <c r="H14" s="122" t="str">
        <f>'Job Sheet'!AI15</f>
        <v/>
      </c>
      <c r="I14" s="121" t="str">
        <f>'Job Sheet'!Q15</f>
        <v/>
      </c>
      <c r="J14" s="88" t="str">
        <f>IF(Data!AV14="","",VLOOKUP(C14,ColourMatch,11,FALSE))</f>
        <v/>
      </c>
      <c r="K14" s="74"/>
      <c r="L14" s="74"/>
      <c r="M14" s="41" t="str">
        <f>'Job Sheet'!AC15</f>
        <v/>
      </c>
      <c r="N14" s="116">
        <f t="shared" si="0"/>
        <v>0</v>
      </c>
    </row>
    <row r="15" spans="1:14" ht="60" customHeight="1">
      <c r="A15" s="119">
        <f>'Job Sheet'!A16</f>
        <v>0</v>
      </c>
      <c r="B15" s="123">
        <f>'Job Sheet'!B16</f>
        <v>0</v>
      </c>
      <c r="C15" s="123" t="str">
        <f>'Job Sheet'!L16</f>
        <v/>
      </c>
      <c r="D15" s="132" t="str">
        <f>IF(Data!AV15="","",VLOOKUP(C15,ColourMatch,10,FALSE))</f>
        <v/>
      </c>
      <c r="E15" s="132" t="str">
        <f>IF(Data!AV15="","",VLOOKUP(C15,ColourMatch,9,FALSE))</f>
        <v/>
      </c>
      <c r="F15" s="128" t="str">
        <f>'Job Sheet'!N16</f>
        <v/>
      </c>
      <c r="G15" s="122" t="str">
        <f>'Job Sheet'!AH16</f>
        <v/>
      </c>
      <c r="H15" s="122" t="str">
        <f>'Job Sheet'!AI16</f>
        <v/>
      </c>
      <c r="I15" s="121" t="str">
        <f>'Job Sheet'!Q16</f>
        <v/>
      </c>
      <c r="J15" s="88" t="str">
        <f>IF(Data!AV15="","",VLOOKUP(C15,ColourMatch,11,FALSE))</f>
        <v/>
      </c>
      <c r="K15" s="74"/>
      <c r="L15" s="74"/>
      <c r="M15" s="41" t="str">
        <f>'Job Sheet'!AC16</f>
        <v/>
      </c>
      <c r="N15" s="116">
        <f t="shared" si="0"/>
        <v>0</v>
      </c>
    </row>
    <row r="16" spans="1:14" ht="60" customHeight="1">
      <c r="A16" s="119">
        <f>'Job Sheet'!A17</f>
        <v>0</v>
      </c>
      <c r="B16" s="123">
        <f>'Job Sheet'!B17</f>
        <v>0</v>
      </c>
      <c r="C16" s="123" t="str">
        <f>'Job Sheet'!L17</f>
        <v/>
      </c>
      <c r="D16" s="132" t="str">
        <f>IF(Data!AV16="","",VLOOKUP(C16,ColourMatch,10,FALSE))</f>
        <v/>
      </c>
      <c r="E16" s="132" t="str">
        <f>IF(Data!AV16="","",VLOOKUP(C16,ColourMatch,9,FALSE))</f>
        <v/>
      </c>
      <c r="F16" s="128" t="str">
        <f>'Job Sheet'!N17</f>
        <v/>
      </c>
      <c r="G16" s="122" t="str">
        <f>'Job Sheet'!AH17</f>
        <v/>
      </c>
      <c r="H16" s="122" t="str">
        <f>'Job Sheet'!AI17</f>
        <v/>
      </c>
      <c r="I16" s="121" t="str">
        <f>'Job Sheet'!Q17</f>
        <v/>
      </c>
      <c r="J16" s="88" t="str">
        <f>IF(Data!AV16="","",VLOOKUP(C16,ColourMatch,11,FALSE))</f>
        <v/>
      </c>
      <c r="K16" s="74"/>
      <c r="L16" s="74"/>
      <c r="M16" s="41" t="str">
        <f>'Job Sheet'!AC17</f>
        <v/>
      </c>
      <c r="N16" s="116">
        <f t="shared" si="0"/>
        <v>0</v>
      </c>
    </row>
    <row r="17" spans="1:14" ht="60" customHeight="1">
      <c r="A17" s="119">
        <f>'Job Sheet'!A18</f>
        <v>0</v>
      </c>
      <c r="B17" s="123">
        <f>'Job Sheet'!B18</f>
        <v>0</v>
      </c>
      <c r="C17" s="123" t="str">
        <f>'Job Sheet'!L18</f>
        <v/>
      </c>
      <c r="D17" s="132" t="str">
        <f>IF(Data!AV17="","",VLOOKUP(C17,ColourMatch,10,FALSE))</f>
        <v/>
      </c>
      <c r="E17" s="132" t="str">
        <f>IF(Data!AV17="","",VLOOKUP(C17,ColourMatch,9,FALSE))</f>
        <v/>
      </c>
      <c r="F17" s="128" t="str">
        <f>'Job Sheet'!N18</f>
        <v/>
      </c>
      <c r="G17" s="122" t="str">
        <f>'Job Sheet'!AH18</f>
        <v/>
      </c>
      <c r="H17" s="122" t="str">
        <f>'Job Sheet'!AI18</f>
        <v/>
      </c>
      <c r="I17" s="121" t="str">
        <f>'Job Sheet'!Q18</f>
        <v/>
      </c>
      <c r="J17" s="88" t="str">
        <f>IF(Data!AV17="","",VLOOKUP(C17,ColourMatch,11,FALSE))</f>
        <v/>
      </c>
      <c r="K17" s="74"/>
      <c r="L17" s="74"/>
      <c r="M17" s="41" t="str">
        <f>'Job Sheet'!AC18</f>
        <v/>
      </c>
      <c r="N17" s="116">
        <f t="shared" si="0"/>
        <v>0</v>
      </c>
    </row>
    <row r="18" spans="1:14" ht="60" customHeight="1">
      <c r="A18" s="119">
        <f>'Job Sheet'!A19</f>
        <v>0</v>
      </c>
      <c r="B18" s="123">
        <f>'Job Sheet'!B19</f>
        <v>0</v>
      </c>
      <c r="C18" s="123" t="str">
        <f>'Job Sheet'!L19</f>
        <v/>
      </c>
      <c r="D18" s="132" t="str">
        <f>IF(Data!AV18="","",VLOOKUP(C18,ColourMatch,10,FALSE))</f>
        <v/>
      </c>
      <c r="E18" s="132" t="str">
        <f>IF(Data!AV18="","",VLOOKUP(C18,ColourMatch,9,FALSE))</f>
        <v/>
      </c>
      <c r="F18" s="128" t="str">
        <f>'Job Sheet'!N19</f>
        <v/>
      </c>
      <c r="G18" s="122" t="str">
        <f>'Job Sheet'!AH19</f>
        <v/>
      </c>
      <c r="H18" s="122" t="str">
        <f>'Job Sheet'!AI19</f>
        <v/>
      </c>
      <c r="I18" s="121" t="str">
        <f>'Job Sheet'!Q19</f>
        <v/>
      </c>
      <c r="J18" s="88" t="str">
        <f>IF(Data!AV18="","",VLOOKUP(C18,ColourMatch,11,FALSE))</f>
        <v/>
      </c>
      <c r="K18" s="74"/>
      <c r="L18" s="74"/>
      <c r="M18" s="41" t="str">
        <f>'Job Sheet'!AC19</f>
        <v/>
      </c>
      <c r="N18" s="116">
        <f t="shared" si="0"/>
        <v>0</v>
      </c>
    </row>
    <row r="19" spans="1:14" ht="60" customHeight="1">
      <c r="A19" s="119">
        <f>'Job Sheet'!A20</f>
        <v>0</v>
      </c>
      <c r="B19" s="123">
        <f>'Job Sheet'!B20</f>
        <v>0</v>
      </c>
      <c r="C19" s="123" t="str">
        <f>'Job Sheet'!L20</f>
        <v/>
      </c>
      <c r="D19" s="132" t="str">
        <f>IF(Data!AV19="","",VLOOKUP(C19,ColourMatch,10,FALSE))</f>
        <v/>
      </c>
      <c r="E19" s="132" t="str">
        <f>IF(Data!AV19="","",VLOOKUP(C19,ColourMatch,9,FALSE))</f>
        <v/>
      </c>
      <c r="F19" s="128" t="str">
        <f>'Job Sheet'!N20</f>
        <v/>
      </c>
      <c r="G19" s="122" t="str">
        <f>'Job Sheet'!AH20</f>
        <v/>
      </c>
      <c r="H19" s="122" t="str">
        <f>'Job Sheet'!AI20</f>
        <v/>
      </c>
      <c r="I19" s="121" t="str">
        <f>'Job Sheet'!Q20</f>
        <v/>
      </c>
      <c r="J19" s="88" t="str">
        <f>IF(Data!AV19="","",VLOOKUP(C19,ColourMatch,11,FALSE))</f>
        <v/>
      </c>
      <c r="K19" s="74"/>
      <c r="L19" s="74"/>
      <c r="M19" s="41" t="str">
        <f>'Job Sheet'!AC20</f>
        <v/>
      </c>
      <c r="N19" s="116">
        <f t="shared" si="0"/>
        <v>0</v>
      </c>
    </row>
    <row r="20" spans="1:14" ht="60" customHeight="1">
      <c r="A20" s="119">
        <f>'Job Sheet'!A21</f>
        <v>0</v>
      </c>
      <c r="B20" s="123">
        <f>'Job Sheet'!B21</f>
        <v>0</v>
      </c>
      <c r="C20" s="123" t="str">
        <f>'Job Sheet'!L21</f>
        <v/>
      </c>
      <c r="D20" s="132" t="str">
        <f>IF(Data!AV20="","",VLOOKUP(C20,ColourMatch,10,FALSE))</f>
        <v/>
      </c>
      <c r="E20" s="132" t="str">
        <f>IF(Data!AV20="","",VLOOKUP(C20,ColourMatch,9,FALSE))</f>
        <v/>
      </c>
      <c r="F20" s="128" t="str">
        <f>'Job Sheet'!N21</f>
        <v/>
      </c>
      <c r="G20" s="122" t="str">
        <f>'Job Sheet'!AH21</f>
        <v/>
      </c>
      <c r="H20" s="122" t="str">
        <f>'Job Sheet'!AI21</f>
        <v/>
      </c>
      <c r="I20" s="121" t="str">
        <f>'Job Sheet'!Q21</f>
        <v/>
      </c>
      <c r="J20" s="88" t="str">
        <f>IF(Data!AV20="","",VLOOKUP(C20,ColourMatch,11,FALSE))</f>
        <v/>
      </c>
      <c r="K20" s="74"/>
      <c r="L20" s="74"/>
      <c r="M20" s="41" t="str">
        <f>'Job Sheet'!AC21</f>
        <v/>
      </c>
      <c r="N20" s="116">
        <f t="shared" si="0"/>
        <v>0</v>
      </c>
    </row>
    <row r="21" spans="1:14" ht="60" customHeight="1"/>
    <row r="22" spans="1:14" ht="60" customHeight="1"/>
    <row r="23" spans="1:14" ht="60" customHeight="1"/>
    <row r="24" spans="1:14" ht="60" customHeight="1"/>
    <row r="25" spans="1:14" ht="60" customHeight="1"/>
    <row r="26" spans="1:14" ht="60" customHeight="1"/>
    <row r="27" spans="1:14" ht="60" customHeight="1"/>
    <row r="28" spans="1:14" ht="60" customHeight="1"/>
    <row r="29" spans="1:14" ht="60" customHeight="1"/>
    <row r="30" spans="1:14" ht="60" customHeight="1"/>
    <row r="31" spans="1:14" ht="60" customHeight="1"/>
    <row r="32" spans="1:14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  <row r="233" ht="60" customHeight="1"/>
    <row r="234" ht="60" customHeight="1"/>
    <row r="235" ht="60" customHeight="1"/>
    <row r="236" ht="60" customHeight="1"/>
    <row r="237" ht="60" customHeight="1"/>
    <row r="238" ht="60" customHeight="1"/>
    <row r="239" ht="60" customHeight="1"/>
    <row r="240" ht="60" customHeight="1"/>
    <row r="241" ht="60" customHeight="1"/>
    <row r="242" ht="60" customHeight="1"/>
    <row r="243" ht="60" customHeight="1"/>
    <row r="244" ht="60" customHeight="1"/>
    <row r="245" ht="60" customHeight="1"/>
    <row r="246" ht="60" customHeight="1"/>
    <row r="247" ht="60" customHeight="1"/>
    <row r="248" ht="60" customHeight="1"/>
    <row r="249" ht="60" customHeight="1"/>
    <row r="250" ht="60" customHeight="1"/>
    <row r="251" ht="60" customHeight="1"/>
    <row r="252" ht="60" customHeight="1"/>
    <row r="253" ht="60" customHeight="1"/>
    <row r="254" ht="60" customHeight="1"/>
    <row r="255" ht="60" customHeight="1"/>
    <row r="256" ht="60" customHeight="1"/>
    <row r="257" ht="60" customHeight="1"/>
    <row r="258" ht="60" customHeight="1"/>
    <row r="259" ht="60" customHeight="1"/>
    <row r="260" ht="60" customHeight="1"/>
    <row r="261" ht="60" customHeight="1"/>
    <row r="262" ht="60" customHeight="1"/>
    <row r="263" ht="60" customHeight="1"/>
    <row r="264" ht="60" customHeight="1"/>
    <row r="265" ht="60" customHeight="1"/>
    <row r="266" ht="60" customHeight="1"/>
    <row r="267" ht="60" customHeight="1"/>
    <row r="268" ht="60" customHeight="1"/>
    <row r="269" ht="60" customHeight="1"/>
    <row r="270" ht="60" customHeight="1"/>
    <row r="271" ht="60" customHeight="1"/>
    <row r="272" ht="60" customHeight="1"/>
    <row r="273" ht="60" customHeight="1"/>
    <row r="274" ht="60" customHeight="1"/>
    <row r="275" ht="60" customHeight="1"/>
    <row r="276" ht="60" customHeight="1"/>
    <row r="277" ht="60" customHeight="1"/>
    <row r="278" ht="60" customHeight="1"/>
    <row r="279" ht="60" customHeight="1"/>
    <row r="280" ht="60" customHeight="1"/>
    <row r="281" ht="60" customHeight="1"/>
    <row r="282" ht="60" customHeight="1"/>
    <row r="283" ht="60" customHeight="1"/>
    <row r="284" ht="60" customHeight="1"/>
    <row r="285" ht="60" customHeight="1"/>
    <row r="286" ht="60" customHeight="1"/>
    <row r="287" ht="60" customHeight="1"/>
    <row r="288" ht="60" customHeight="1"/>
    <row r="289" ht="60" customHeight="1"/>
    <row r="290" ht="60" customHeight="1"/>
    <row r="291" ht="60" customHeight="1"/>
    <row r="292" ht="60" customHeight="1"/>
    <row r="293" ht="60" customHeight="1"/>
    <row r="294" ht="60" customHeight="1"/>
    <row r="295" ht="60" customHeight="1"/>
    <row r="296" ht="60" customHeight="1"/>
    <row r="297" ht="60" customHeight="1"/>
    <row r="298" ht="60" customHeight="1"/>
    <row r="299" ht="60" customHeight="1"/>
    <row r="300" ht="60" customHeight="1"/>
    <row r="301" ht="60" customHeight="1"/>
    <row r="302" ht="60" customHeight="1"/>
    <row r="303" ht="60" customHeight="1"/>
    <row r="304" ht="60" customHeight="1"/>
    <row r="305" ht="60" customHeight="1"/>
    <row r="306" ht="60" customHeight="1"/>
    <row r="307" ht="60" customHeight="1"/>
    <row r="308" ht="60" customHeight="1"/>
    <row r="309" ht="60" customHeight="1"/>
    <row r="310" ht="60" customHeight="1"/>
    <row r="311" ht="39.9" customHeight="1"/>
    <row r="312" ht="39.9" customHeight="1"/>
    <row r="313" ht="39.9" customHeight="1"/>
    <row r="314" ht="39.9" customHeight="1"/>
    <row r="315" ht="39.9" customHeight="1"/>
    <row r="316" ht="39.9" customHeight="1"/>
    <row r="317" ht="39.9" customHeight="1"/>
    <row r="318" ht="39.9" customHeight="1"/>
    <row r="319" ht="39.9" customHeight="1"/>
    <row r="320" ht="39.9" customHeight="1"/>
    <row r="321" ht="39.9" customHeight="1"/>
    <row r="322" ht="39.9" customHeight="1"/>
    <row r="323" ht="39.9" customHeight="1"/>
    <row r="324" ht="39.9" customHeight="1"/>
    <row r="325" ht="39.9" customHeight="1"/>
    <row r="326" ht="39.9" customHeight="1"/>
    <row r="327" ht="39.9" customHeight="1"/>
    <row r="328" ht="39.9" customHeight="1"/>
    <row r="329" ht="39.9" customHeight="1"/>
    <row r="330" ht="39.9" customHeight="1"/>
    <row r="331" ht="39.9" customHeight="1"/>
    <row r="332" ht="39.9" customHeight="1"/>
    <row r="333" ht="39.9" customHeight="1"/>
    <row r="334" ht="39.9" customHeight="1"/>
    <row r="335" ht="39.9" customHeight="1"/>
    <row r="336" ht="39.9" customHeight="1"/>
    <row r="337" ht="39.9" customHeight="1"/>
    <row r="338" ht="39.9" customHeight="1"/>
    <row r="339" ht="39.9" customHeight="1"/>
    <row r="340" ht="39.9" customHeight="1"/>
    <row r="341" ht="39.9" customHeight="1"/>
    <row r="342" ht="39.9" customHeight="1"/>
    <row r="343" ht="39.9" customHeight="1"/>
    <row r="344" ht="39.9" customHeight="1"/>
    <row r="345" ht="39.9" customHeight="1"/>
    <row r="346" ht="39.9" customHeight="1"/>
    <row r="347" ht="39.9" customHeight="1"/>
    <row r="348" ht="39.9" customHeight="1"/>
    <row r="349" ht="39.9" customHeight="1"/>
    <row r="350" ht="39.9" customHeight="1"/>
    <row r="351" ht="39.9" customHeight="1"/>
    <row r="352" ht="39.9" customHeight="1"/>
    <row r="353" ht="39.9" customHeight="1"/>
    <row r="354" ht="39.9" customHeight="1"/>
    <row r="355" ht="39.9" customHeight="1"/>
    <row r="356" ht="39.9" customHeight="1"/>
  </sheetData>
  <mergeCells count="32">
    <mergeCell ref="A1:N1"/>
    <mergeCell ref="N8:N9"/>
    <mergeCell ref="A8:A9"/>
    <mergeCell ref="B8:B9"/>
    <mergeCell ref="C8:C9"/>
    <mergeCell ref="G8:G9"/>
    <mergeCell ref="H8:H9"/>
    <mergeCell ref="F8:F9"/>
    <mergeCell ref="K8:K9"/>
    <mergeCell ref="M8:M9"/>
    <mergeCell ref="L8:L9"/>
    <mergeCell ref="J8:J9"/>
    <mergeCell ref="F2:K2"/>
    <mergeCell ref="L3:N7"/>
    <mergeCell ref="L2:N2"/>
    <mergeCell ref="I8:I9"/>
    <mergeCell ref="D2:E2"/>
    <mergeCell ref="D3:E3"/>
    <mergeCell ref="A2:B2"/>
    <mergeCell ref="A3:B3"/>
    <mergeCell ref="A4:B4"/>
    <mergeCell ref="D8:D9"/>
    <mergeCell ref="F5:K5"/>
    <mergeCell ref="A6:C7"/>
    <mergeCell ref="D4:E4"/>
    <mergeCell ref="D5:E7"/>
    <mergeCell ref="A5:B5"/>
    <mergeCell ref="F4:K4"/>
    <mergeCell ref="F3:K3"/>
    <mergeCell ref="F7:K7"/>
    <mergeCell ref="F6:K6"/>
    <mergeCell ref="E8:E9"/>
  </mergeCells>
  <pageMargins left="0.476377952755906" right="0.476377952755906" top="0.55118110236220497" bottom="0.55118110236220497" header="0.31496062992126" footer="0.31496062992126"/>
  <pageSetup scale="37" fitToHeight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M410"/>
  <sheetViews>
    <sheetView showZeros="0" view="pageBreakPreview" zoomScale="40" zoomScaleNormal="40" zoomScaleSheetLayoutView="40" workbookViewId="0">
      <selection activeCell="K12" sqref="K12"/>
    </sheetView>
  </sheetViews>
  <sheetFormatPr defaultColWidth="9.109375" defaultRowHeight="13.2"/>
  <cols>
    <col min="1" max="1" width="12.44140625" style="75" customWidth="1"/>
    <col min="2" max="2" width="46.88671875" style="75" customWidth="1"/>
    <col min="3" max="3" width="26" style="75" customWidth="1"/>
    <col min="4" max="4" width="27.33203125" style="75" customWidth="1"/>
    <col min="5" max="5" width="30.44140625" style="75" customWidth="1"/>
    <col min="6" max="6" width="24.33203125" style="75" customWidth="1"/>
    <col min="7" max="7" width="26" style="75" customWidth="1"/>
    <col min="8" max="8" width="35.6640625" style="75" customWidth="1"/>
    <col min="9" max="9" width="27.6640625" style="75" customWidth="1"/>
    <col min="10" max="10" width="31.21875" style="75" customWidth="1"/>
    <col min="11" max="11" width="26.21875" style="75" customWidth="1"/>
    <col min="12" max="12" width="89.88671875" customWidth="1"/>
    <col min="13" max="13" width="17.88671875" customWidth="1"/>
  </cols>
  <sheetData>
    <row r="1" spans="1:13" ht="280.2" customHeight="1">
      <c r="A1" s="176" t="s">
        <v>181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</row>
    <row r="2" spans="1:13" s="71" customFormat="1" ht="49.95" customHeight="1">
      <c r="A2" s="181" t="s">
        <v>7</v>
      </c>
      <c r="B2" s="181"/>
      <c r="C2" s="179"/>
      <c r="D2" s="179"/>
      <c r="E2" s="8" t="s">
        <v>120</v>
      </c>
      <c r="F2" s="8"/>
      <c r="G2" s="4">
        <f>Data!BF5</f>
        <v>0</v>
      </c>
      <c r="H2" s="4"/>
      <c r="I2" s="4"/>
      <c r="J2" s="4"/>
      <c r="K2" s="4"/>
      <c r="L2" s="11" t="s">
        <v>4</v>
      </c>
      <c r="M2" s="11"/>
    </row>
    <row r="3" spans="1:13" s="71" customFormat="1" ht="49.95" customHeight="1">
      <c r="A3" s="181" t="s">
        <v>145</v>
      </c>
      <c r="B3" s="181"/>
      <c r="C3" s="180">
        <f>Data!BC5</f>
        <v>0</v>
      </c>
      <c r="D3" s="180"/>
      <c r="E3" s="5" t="s">
        <v>8</v>
      </c>
      <c r="F3" s="5"/>
      <c r="G3" s="237">
        <f>Data!AX5</f>
        <v>0</v>
      </c>
      <c r="H3" s="237"/>
      <c r="I3" s="237"/>
      <c r="J3" s="237"/>
      <c r="K3" s="237"/>
      <c r="L3" s="10" t="str">
        <f>TRIM(Data!BG5)</f>
        <v/>
      </c>
      <c r="M3" s="10"/>
    </row>
    <row r="4" spans="1:13" s="71" customFormat="1" ht="49.95" customHeight="1">
      <c r="A4" s="181" t="s">
        <v>17</v>
      </c>
      <c r="B4" s="181"/>
      <c r="C4" s="180">
        <f>Data!BD5</f>
        <v>0</v>
      </c>
      <c r="D4" s="180"/>
      <c r="E4" s="5" t="s">
        <v>139</v>
      </c>
      <c r="F4" s="5"/>
      <c r="G4" s="237">
        <f>Data!BA5</f>
        <v>0</v>
      </c>
      <c r="H4" s="237"/>
      <c r="I4" s="237"/>
      <c r="J4" s="237"/>
      <c r="K4" s="237"/>
      <c r="L4" s="10"/>
      <c r="M4" s="10"/>
    </row>
    <row r="5" spans="1:13" s="71" customFormat="1" ht="49.95" customHeight="1">
      <c r="A5" s="183" t="s">
        <v>11</v>
      </c>
      <c r="B5" s="183"/>
      <c r="C5" s="180">
        <f>Data!AY5</f>
        <v>0</v>
      </c>
      <c r="D5" s="180"/>
      <c r="E5" s="7" t="s">
        <v>14</v>
      </c>
      <c r="F5" s="7"/>
      <c r="G5" s="4" t="str">
        <f>TRIM(Data!BF5)</f>
        <v/>
      </c>
      <c r="H5" s="4"/>
      <c r="I5" s="4"/>
      <c r="J5" s="4"/>
      <c r="K5" s="4"/>
      <c r="L5" s="10"/>
      <c r="M5" s="10"/>
    </row>
    <row r="6" spans="1:13" s="71" customFormat="1" ht="49.95" customHeight="1">
      <c r="A6" s="178">
        <f>Data!CZ5</f>
        <v>0</v>
      </c>
      <c r="B6" s="178"/>
      <c r="C6" s="178"/>
      <c r="D6" s="178"/>
      <c r="E6" s="7"/>
      <c r="F6" s="7"/>
      <c r="G6" s="4" t="str">
        <f>CONCATENATE(Data!BH5," ",Data!BI5," ",Data!BJ5," ",Data!BK5," ",Data!BL5)</f>
        <v xml:space="preserve">    </v>
      </c>
      <c r="H6" s="4"/>
      <c r="I6" s="4"/>
      <c r="J6" s="4"/>
      <c r="K6" s="4"/>
      <c r="L6" s="10"/>
      <c r="M6" s="10"/>
    </row>
    <row r="7" spans="1:13" s="71" customFormat="1" ht="49.95" customHeight="1">
      <c r="A7" s="178"/>
      <c r="B7" s="178"/>
      <c r="C7" s="178"/>
      <c r="D7" s="178"/>
      <c r="E7" s="7"/>
      <c r="F7" s="7"/>
      <c r="G7" s="4" t="str">
        <f>CONCATENATE(Data!BM5," ",Data!BN5," ",Data!BO5," ",Data!BP5)</f>
        <v xml:space="preserve">   </v>
      </c>
      <c r="H7" s="4"/>
      <c r="I7" s="4"/>
      <c r="J7" s="4"/>
      <c r="K7" s="4"/>
      <c r="L7" s="10"/>
      <c r="M7" s="10"/>
    </row>
    <row r="8" spans="1:13" ht="23.25" customHeight="1">
      <c r="A8" s="184" t="s">
        <v>144</v>
      </c>
      <c r="B8" s="182" t="s">
        <v>122</v>
      </c>
      <c r="C8" s="177" t="s">
        <v>292</v>
      </c>
      <c r="D8" s="177" t="s">
        <v>205</v>
      </c>
      <c r="E8" s="177" t="s">
        <v>189</v>
      </c>
      <c r="F8" s="153" t="s">
        <v>221</v>
      </c>
      <c r="G8" s="153" t="s">
        <v>190</v>
      </c>
      <c r="H8" s="153" t="s">
        <v>206</v>
      </c>
      <c r="I8" s="177" t="s">
        <v>191</v>
      </c>
      <c r="J8" s="177" t="s">
        <v>2129</v>
      </c>
      <c r="K8" s="177" t="s">
        <v>157</v>
      </c>
      <c r="L8" s="153" t="s">
        <v>5</v>
      </c>
      <c r="M8" s="153" t="s">
        <v>290</v>
      </c>
    </row>
    <row r="9" spans="1:13" ht="18.75" customHeight="1">
      <c r="A9" s="184"/>
      <c r="B9" s="182"/>
      <c r="C9" s="177"/>
      <c r="D9" s="177"/>
      <c r="E9" s="177"/>
      <c r="F9" s="153"/>
      <c r="G9" s="153"/>
      <c r="H9" s="153"/>
      <c r="I9" s="177"/>
      <c r="J9" s="177"/>
      <c r="K9" s="177"/>
      <c r="L9" s="153"/>
      <c r="M9" s="153"/>
    </row>
    <row r="10" spans="1:13" ht="78" customHeight="1">
      <c r="A10" s="184"/>
      <c r="B10" s="182"/>
      <c r="C10" s="177"/>
      <c r="D10" s="177"/>
      <c r="E10" s="177"/>
      <c r="F10" s="153"/>
      <c r="G10" s="153"/>
      <c r="H10" s="153"/>
      <c r="I10" s="177"/>
      <c r="J10" s="177"/>
      <c r="K10" s="177"/>
      <c r="L10" s="153"/>
      <c r="M10" s="153"/>
    </row>
    <row r="11" spans="1:13" ht="1.2" customHeight="1">
      <c r="A11" s="84"/>
      <c r="B11" s="85"/>
      <c r="C11" s="104" t="str">
        <f>bpLOOKUP(Data!$AV10,"TRACKCOLOUR",CustOrdOpt,6,FALSE)</f>
        <v/>
      </c>
      <c r="D11" s="105" t="str">
        <f>IF(Data!AL10="","",#REF!-40)</f>
        <v/>
      </c>
      <c r="E11" s="106" t="str">
        <f>IF(Data!AL10="","",(#REF!+70+((A11-2)*70))/A11+2)</f>
        <v/>
      </c>
      <c r="F11" s="87"/>
      <c r="G11" s="73" t="str">
        <f>IF(Data!AJ10="","",C11)</f>
        <v/>
      </c>
      <c r="H11" s="85"/>
      <c r="I11" s="106" t="str">
        <f>IF(Data!AL10="","",E11)</f>
        <v/>
      </c>
      <c r="J11" s="103"/>
      <c r="K11" s="103"/>
      <c r="L11" s="86"/>
      <c r="M11" s="42"/>
    </row>
    <row r="12" spans="1:13" ht="60" customHeight="1">
      <c r="A12" s="88">
        <f>Data!AW11</f>
        <v>0</v>
      </c>
      <c r="B12" s="49">
        <f>'Job Sheet'!B12</f>
        <v>0</v>
      </c>
      <c r="C12" s="127" t="str">
        <f>'Job Sheet'!AE12</f>
        <v/>
      </c>
      <c r="D12" s="107" t="str">
        <f>IF(Data!AV11="","",VLOOKUP('Job Sheet'!O12,Channels,2,FALSE))</f>
        <v/>
      </c>
      <c r="E12" s="126" t="str">
        <f>'Job Sheet'!P12</f>
        <v/>
      </c>
      <c r="F12" s="128" t="str">
        <f>'Job Sheet'!N12</f>
        <v/>
      </c>
      <c r="G12" s="128" t="str">
        <f>'Job Sheet'!AF12</f>
        <v/>
      </c>
      <c r="H12" s="53" t="str">
        <f>'Job Sheet'!P12</f>
        <v/>
      </c>
      <c r="I12" s="129" t="str">
        <f>'Job Sheet'!AG12</f>
        <v/>
      </c>
      <c r="J12" s="107" t="str">
        <f>'Job Sheet'!Q12</f>
        <v/>
      </c>
      <c r="K12" s="107" t="str">
        <f>IF('Job Sheet'!R12="Match",VLOOKUP(C11,ColourMatch,4,FALSE),'Job Sheet'!R12)</f>
        <v/>
      </c>
      <c r="L12" s="89" t="str">
        <f>'Job Sheet'!AC12</f>
        <v/>
      </c>
      <c r="M12" s="116">
        <f>A12</f>
        <v>0</v>
      </c>
    </row>
    <row r="13" spans="1:13" ht="60" customHeight="1">
      <c r="A13" s="88">
        <f>Data!AW12</f>
        <v>0</v>
      </c>
      <c r="B13" s="49">
        <f>'Job Sheet'!B13</f>
        <v>0</v>
      </c>
      <c r="C13" s="127" t="str">
        <f>'Job Sheet'!AE13</f>
        <v/>
      </c>
      <c r="D13" s="107" t="str">
        <f>IF(Data!AV12="","",VLOOKUP('Job Sheet'!O13,Channels,2,FALSE))</f>
        <v/>
      </c>
      <c r="E13" s="126" t="str">
        <f>'Job Sheet'!P13</f>
        <v/>
      </c>
      <c r="F13" s="128" t="str">
        <f>'Job Sheet'!N13</f>
        <v/>
      </c>
      <c r="G13" s="128" t="str">
        <f>'Job Sheet'!AF13</f>
        <v/>
      </c>
      <c r="H13" s="53" t="str">
        <f>'Job Sheet'!P13</f>
        <v/>
      </c>
      <c r="I13" s="129" t="str">
        <f>'Job Sheet'!AG13</f>
        <v/>
      </c>
      <c r="J13" s="107" t="str">
        <f>'Job Sheet'!Q13</f>
        <v/>
      </c>
      <c r="K13" s="107" t="str">
        <f>IF('Job Sheet'!R13="Match",VLOOKUP(C12,ColourMatch,4,FALSE),'Job Sheet'!R13)</f>
        <v/>
      </c>
      <c r="L13" s="89" t="str">
        <f>'Job Sheet'!AC13</f>
        <v/>
      </c>
      <c r="M13" s="116">
        <f t="shared" ref="M13:M21" si="0">A13</f>
        <v>0</v>
      </c>
    </row>
    <row r="14" spans="1:13" ht="60" customHeight="1">
      <c r="A14" s="88">
        <f>Data!AW13</f>
        <v>0</v>
      </c>
      <c r="B14" s="49">
        <f>'Job Sheet'!B14</f>
        <v>0</v>
      </c>
      <c r="C14" s="127" t="str">
        <f>'Job Sheet'!AE14</f>
        <v/>
      </c>
      <c r="D14" s="107" t="str">
        <f>IF(Data!AV13="","",VLOOKUP('Job Sheet'!O14,Channels,2,FALSE))</f>
        <v/>
      </c>
      <c r="E14" s="126" t="str">
        <f>'Job Sheet'!P14</f>
        <v/>
      </c>
      <c r="F14" s="128" t="str">
        <f>'Job Sheet'!N14</f>
        <v/>
      </c>
      <c r="G14" s="128" t="str">
        <f>'Job Sheet'!AF14</f>
        <v/>
      </c>
      <c r="H14" s="53" t="str">
        <f>'Job Sheet'!P14</f>
        <v/>
      </c>
      <c r="I14" s="129" t="str">
        <f>'Job Sheet'!AG14</f>
        <v/>
      </c>
      <c r="J14" s="107" t="str">
        <f>'Job Sheet'!Q14</f>
        <v/>
      </c>
      <c r="K14" s="107" t="str">
        <f>IF('Job Sheet'!R14="Match",VLOOKUP(C13,ColourMatch,4,FALSE),'Job Sheet'!R14)</f>
        <v/>
      </c>
      <c r="L14" s="89" t="str">
        <f>'Job Sheet'!AC14</f>
        <v/>
      </c>
      <c r="M14" s="116">
        <f t="shared" si="0"/>
        <v>0</v>
      </c>
    </row>
    <row r="15" spans="1:13" ht="60" customHeight="1">
      <c r="A15" s="88">
        <f>Data!AW14</f>
        <v>0</v>
      </c>
      <c r="B15" s="49">
        <f>'Job Sheet'!B15</f>
        <v>0</v>
      </c>
      <c r="C15" s="127" t="str">
        <f>'Job Sheet'!AE15</f>
        <v/>
      </c>
      <c r="D15" s="107" t="str">
        <f>IF(Data!AV14="","",VLOOKUP('Job Sheet'!O15,Channels,2,FALSE))</f>
        <v/>
      </c>
      <c r="E15" s="126" t="str">
        <f>'Job Sheet'!P15</f>
        <v/>
      </c>
      <c r="F15" s="128" t="str">
        <f>'Job Sheet'!N15</f>
        <v/>
      </c>
      <c r="G15" s="128" t="str">
        <f>'Job Sheet'!AF15</f>
        <v/>
      </c>
      <c r="H15" s="53" t="str">
        <f>'Job Sheet'!P15</f>
        <v/>
      </c>
      <c r="I15" s="129" t="str">
        <f>'Job Sheet'!AG15</f>
        <v/>
      </c>
      <c r="J15" s="107" t="str">
        <f>'Job Sheet'!Q15</f>
        <v/>
      </c>
      <c r="K15" s="107" t="str">
        <f>IF('Job Sheet'!R15="Match",VLOOKUP(C14,ColourMatch,4,FALSE),'Job Sheet'!R15)</f>
        <v/>
      </c>
      <c r="L15" s="89" t="str">
        <f>'Job Sheet'!AC15</f>
        <v/>
      </c>
      <c r="M15" s="116">
        <f t="shared" si="0"/>
        <v>0</v>
      </c>
    </row>
    <row r="16" spans="1:13" ht="60" customHeight="1">
      <c r="A16" s="88">
        <f>Data!AW15</f>
        <v>0</v>
      </c>
      <c r="B16" s="49">
        <f>'Job Sheet'!B16</f>
        <v>0</v>
      </c>
      <c r="C16" s="127" t="str">
        <f>'Job Sheet'!AE16</f>
        <v/>
      </c>
      <c r="D16" s="107" t="str">
        <f>IF(Data!AV15="","",VLOOKUP('Job Sheet'!O16,Channels,2,FALSE))</f>
        <v/>
      </c>
      <c r="E16" s="126" t="str">
        <f>'Job Sheet'!P16</f>
        <v/>
      </c>
      <c r="F16" s="128" t="str">
        <f>'Job Sheet'!N16</f>
        <v/>
      </c>
      <c r="G16" s="128" t="str">
        <f>'Job Sheet'!AF16</f>
        <v/>
      </c>
      <c r="H16" s="53" t="str">
        <f>'Job Sheet'!P16</f>
        <v/>
      </c>
      <c r="I16" s="129" t="str">
        <f>'Job Sheet'!AG16</f>
        <v/>
      </c>
      <c r="J16" s="107" t="str">
        <f>'Job Sheet'!Q16</f>
        <v/>
      </c>
      <c r="K16" s="107" t="str">
        <f>IF('Job Sheet'!R16="Match",VLOOKUP(C15,ColourMatch,4,FALSE),'Job Sheet'!R16)</f>
        <v/>
      </c>
      <c r="L16" s="89" t="str">
        <f>'Job Sheet'!AC16</f>
        <v/>
      </c>
      <c r="M16" s="116">
        <f t="shared" si="0"/>
        <v>0</v>
      </c>
    </row>
    <row r="17" spans="1:13" ht="60" customHeight="1">
      <c r="A17" s="88">
        <f>Data!AW16</f>
        <v>0</v>
      </c>
      <c r="B17" s="49">
        <f>'Job Sheet'!B17</f>
        <v>0</v>
      </c>
      <c r="C17" s="127" t="str">
        <f>'Job Sheet'!AE17</f>
        <v/>
      </c>
      <c r="D17" s="107" t="str">
        <f>IF(Data!AV16="","",VLOOKUP('Job Sheet'!O17,Channels,2,FALSE))</f>
        <v/>
      </c>
      <c r="E17" s="126" t="str">
        <f>'Job Sheet'!P17</f>
        <v/>
      </c>
      <c r="F17" s="128" t="str">
        <f>'Job Sheet'!N17</f>
        <v/>
      </c>
      <c r="G17" s="128" t="str">
        <f>'Job Sheet'!AF17</f>
        <v/>
      </c>
      <c r="H17" s="53" t="str">
        <f>'Job Sheet'!P17</f>
        <v/>
      </c>
      <c r="I17" s="129" t="str">
        <f>'Job Sheet'!AG17</f>
        <v/>
      </c>
      <c r="J17" s="107" t="str">
        <f>'Job Sheet'!Q17</f>
        <v/>
      </c>
      <c r="K17" s="107" t="str">
        <f>IF('Job Sheet'!R17="Match",VLOOKUP(C16,ColourMatch,4,FALSE),'Job Sheet'!R17)</f>
        <v/>
      </c>
      <c r="L17" s="89" t="str">
        <f>'Job Sheet'!AC17</f>
        <v/>
      </c>
      <c r="M17" s="116">
        <f t="shared" si="0"/>
        <v>0</v>
      </c>
    </row>
    <row r="18" spans="1:13" ht="60" customHeight="1">
      <c r="A18" s="88">
        <f>Data!AW17</f>
        <v>0</v>
      </c>
      <c r="B18" s="49">
        <f>'Job Sheet'!B18</f>
        <v>0</v>
      </c>
      <c r="C18" s="127" t="str">
        <f>'Job Sheet'!AE18</f>
        <v/>
      </c>
      <c r="D18" s="107" t="str">
        <f>IF(Data!AV17="","",VLOOKUP('Job Sheet'!O18,Channels,2,FALSE))</f>
        <v/>
      </c>
      <c r="E18" s="126" t="str">
        <f>'Job Sheet'!P18</f>
        <v/>
      </c>
      <c r="F18" s="128" t="str">
        <f>'Job Sheet'!N18</f>
        <v/>
      </c>
      <c r="G18" s="128" t="str">
        <f>'Job Sheet'!AF18</f>
        <v/>
      </c>
      <c r="H18" s="53" t="str">
        <f>'Job Sheet'!P18</f>
        <v/>
      </c>
      <c r="I18" s="129" t="str">
        <f>'Job Sheet'!AG18</f>
        <v/>
      </c>
      <c r="J18" s="107" t="str">
        <f>'Job Sheet'!Q18</f>
        <v/>
      </c>
      <c r="K18" s="107" t="str">
        <f>IF('Job Sheet'!R18="Match",VLOOKUP(C17,ColourMatch,4,FALSE),'Job Sheet'!R18)</f>
        <v/>
      </c>
      <c r="L18" s="89" t="str">
        <f>'Job Sheet'!AC18</f>
        <v/>
      </c>
      <c r="M18" s="116">
        <f t="shared" si="0"/>
        <v>0</v>
      </c>
    </row>
    <row r="19" spans="1:13" ht="60" customHeight="1">
      <c r="A19" s="88">
        <f>Data!AW18</f>
        <v>0</v>
      </c>
      <c r="B19" s="49">
        <f>'Job Sheet'!B19</f>
        <v>0</v>
      </c>
      <c r="C19" s="127" t="str">
        <f>'Job Sheet'!AE19</f>
        <v/>
      </c>
      <c r="D19" s="107" t="str">
        <f>IF(Data!AV18="","",VLOOKUP('Job Sheet'!O19,Channels,2,FALSE))</f>
        <v/>
      </c>
      <c r="E19" s="126" t="str">
        <f>'Job Sheet'!P19</f>
        <v/>
      </c>
      <c r="F19" s="128" t="str">
        <f>'Job Sheet'!N19</f>
        <v/>
      </c>
      <c r="G19" s="128" t="str">
        <f>'Job Sheet'!AF19</f>
        <v/>
      </c>
      <c r="H19" s="53" t="str">
        <f>'Job Sheet'!P19</f>
        <v/>
      </c>
      <c r="I19" s="129" t="str">
        <f>'Job Sheet'!AG19</f>
        <v/>
      </c>
      <c r="J19" s="107" t="str">
        <f>'Job Sheet'!Q19</f>
        <v/>
      </c>
      <c r="K19" s="107" t="str">
        <f>IF('Job Sheet'!R19="Match",VLOOKUP(C18,ColourMatch,4,FALSE),'Job Sheet'!R19)</f>
        <v/>
      </c>
      <c r="L19" s="89" t="str">
        <f>'Job Sheet'!AC19</f>
        <v/>
      </c>
      <c r="M19" s="116">
        <f t="shared" si="0"/>
        <v>0</v>
      </c>
    </row>
    <row r="20" spans="1:13" ht="60" customHeight="1">
      <c r="A20" s="88">
        <f>Data!AW19</f>
        <v>0</v>
      </c>
      <c r="B20" s="49">
        <f>'Job Sheet'!B20</f>
        <v>0</v>
      </c>
      <c r="C20" s="127" t="str">
        <f>'Job Sheet'!AE20</f>
        <v/>
      </c>
      <c r="D20" s="107" t="str">
        <f>IF(Data!AV19="","",VLOOKUP('Job Sheet'!O20,Channels,2,FALSE))</f>
        <v/>
      </c>
      <c r="E20" s="126" t="str">
        <f>'Job Sheet'!P20</f>
        <v/>
      </c>
      <c r="F20" s="128" t="str">
        <f>'Job Sheet'!N20</f>
        <v/>
      </c>
      <c r="G20" s="128" t="str">
        <f>'Job Sheet'!AF20</f>
        <v/>
      </c>
      <c r="H20" s="53" t="str">
        <f>'Job Sheet'!P20</f>
        <v/>
      </c>
      <c r="I20" s="129" t="str">
        <f>'Job Sheet'!AG20</f>
        <v/>
      </c>
      <c r="J20" s="107" t="str">
        <f>'Job Sheet'!Q20</f>
        <v/>
      </c>
      <c r="K20" s="107" t="str">
        <f>IF('Job Sheet'!R20="Match",VLOOKUP(C19,ColourMatch,4,FALSE),'Job Sheet'!R20)</f>
        <v/>
      </c>
      <c r="L20" s="89" t="str">
        <f>'Job Sheet'!AC20</f>
        <v/>
      </c>
      <c r="M20" s="116">
        <f t="shared" si="0"/>
        <v>0</v>
      </c>
    </row>
    <row r="21" spans="1:13" ht="60" customHeight="1">
      <c r="A21" s="88">
        <f>Data!AW20</f>
        <v>0</v>
      </c>
      <c r="B21" s="49">
        <f>'Job Sheet'!B21</f>
        <v>0</v>
      </c>
      <c r="C21" s="127" t="str">
        <f>'Job Sheet'!AE21</f>
        <v/>
      </c>
      <c r="D21" s="107" t="str">
        <f>IF(Data!AV20="","",VLOOKUP('Job Sheet'!O21,Channels,2,FALSE))</f>
        <v/>
      </c>
      <c r="E21" s="126" t="str">
        <f>'Job Sheet'!P21</f>
        <v/>
      </c>
      <c r="F21" s="128" t="str">
        <f>'Job Sheet'!N21</f>
        <v/>
      </c>
      <c r="G21" s="128" t="str">
        <f>'Job Sheet'!AF21</f>
        <v/>
      </c>
      <c r="H21" s="53" t="str">
        <f>'Job Sheet'!P21</f>
        <v/>
      </c>
      <c r="I21" s="129" t="str">
        <f>'Job Sheet'!AG21</f>
        <v/>
      </c>
      <c r="J21" s="107" t="str">
        <f>'Job Sheet'!Q21</f>
        <v/>
      </c>
      <c r="K21" s="107" t="str">
        <f>IF('Job Sheet'!R21="Match",VLOOKUP(C20,ColourMatch,4,FALSE),'Job Sheet'!R21)</f>
        <v/>
      </c>
      <c r="L21" s="89" t="str">
        <f>'Job Sheet'!AC21</f>
        <v/>
      </c>
      <c r="M21" s="116">
        <f t="shared" si="0"/>
        <v>0</v>
      </c>
    </row>
    <row r="22" spans="1:13" ht="60" customHeight="1">
      <c r="A22" s="77"/>
      <c r="B22" s="44"/>
      <c r="C22" s="54"/>
      <c r="D22" s="54"/>
      <c r="E22" s="54"/>
      <c r="F22" s="43"/>
      <c r="G22" s="43"/>
      <c r="H22" s="43"/>
      <c r="I22" s="43"/>
      <c r="J22" s="43"/>
      <c r="K22" s="43"/>
    </row>
    <row r="23" spans="1:13" ht="60" customHeight="1">
      <c r="A23" s="77"/>
      <c r="B23" s="44"/>
      <c r="C23" s="54"/>
      <c r="D23" s="54"/>
      <c r="E23" s="54"/>
      <c r="F23" s="43"/>
      <c r="G23" s="43"/>
      <c r="H23" s="43"/>
      <c r="I23" s="43"/>
      <c r="J23" s="43"/>
      <c r="K23" s="43"/>
    </row>
    <row r="24" spans="1:13" ht="60" customHeight="1">
      <c r="A24" s="77"/>
      <c r="B24" s="44"/>
      <c r="C24" s="54"/>
      <c r="D24" s="54"/>
      <c r="E24" s="54"/>
      <c r="F24" s="43"/>
      <c r="G24" s="43"/>
      <c r="H24" s="43"/>
      <c r="I24" s="43"/>
      <c r="J24" s="43"/>
      <c r="K24" s="43"/>
    </row>
    <row r="25" spans="1:13" ht="60" customHeight="1">
      <c r="A25" s="77"/>
      <c r="B25" s="44"/>
      <c r="C25" s="54"/>
      <c r="D25" s="54"/>
      <c r="E25" s="54"/>
      <c r="F25" s="43"/>
      <c r="G25" s="43"/>
      <c r="H25" s="43"/>
      <c r="I25" s="43"/>
      <c r="J25" s="43"/>
      <c r="K25" s="43"/>
    </row>
    <row r="26" spans="1:13" ht="60" customHeight="1">
      <c r="A26" s="77"/>
      <c r="B26" s="44"/>
      <c r="C26" s="54"/>
      <c r="D26" s="54"/>
      <c r="E26" s="54"/>
      <c r="F26" s="43"/>
      <c r="G26" s="43"/>
      <c r="H26" s="43"/>
      <c r="I26" s="43"/>
      <c r="J26" s="43"/>
      <c r="K26" s="43"/>
    </row>
    <row r="27" spans="1:13" ht="60" customHeight="1">
      <c r="A27" s="77"/>
      <c r="B27" s="44"/>
      <c r="C27" s="54"/>
      <c r="D27" s="54"/>
      <c r="E27" s="54"/>
      <c r="F27" s="43"/>
      <c r="G27" s="43"/>
      <c r="H27" s="43"/>
      <c r="I27" s="43"/>
      <c r="J27" s="43"/>
      <c r="K27" s="43"/>
    </row>
    <row r="28" spans="1:13" ht="60" customHeight="1">
      <c r="A28" s="77"/>
      <c r="B28" s="44"/>
      <c r="C28" s="54"/>
      <c r="D28" s="54"/>
      <c r="E28" s="54"/>
      <c r="F28" s="43"/>
      <c r="G28" s="43"/>
      <c r="H28" s="43"/>
      <c r="I28" s="43"/>
      <c r="J28" s="43"/>
      <c r="K28" s="43"/>
    </row>
    <row r="29" spans="1:13" ht="60" customHeight="1">
      <c r="A29" s="77"/>
      <c r="B29" s="44"/>
      <c r="C29" s="54"/>
      <c r="D29" s="54"/>
      <c r="E29" s="54"/>
      <c r="F29" s="43"/>
      <c r="G29" s="43"/>
      <c r="H29" s="43"/>
      <c r="I29" s="43"/>
      <c r="J29" s="43"/>
      <c r="K29" s="43"/>
    </row>
    <row r="30" spans="1:13" ht="60" customHeight="1">
      <c r="A30" s="77"/>
      <c r="B30" s="44"/>
      <c r="C30" s="54"/>
      <c r="D30" s="54"/>
      <c r="E30" s="54"/>
      <c r="F30" s="43"/>
      <c r="G30" s="43"/>
      <c r="H30" s="43"/>
      <c r="I30" s="43"/>
      <c r="J30" s="43"/>
      <c r="K30" s="43"/>
    </row>
    <row r="31" spans="1:13" ht="60" customHeight="1">
      <c r="A31" s="77"/>
      <c r="B31" s="44"/>
      <c r="C31" s="54"/>
      <c r="D31" s="54"/>
      <c r="E31" s="54"/>
      <c r="F31" s="43"/>
      <c r="G31" s="43"/>
      <c r="H31" s="43"/>
      <c r="I31" s="43"/>
      <c r="J31" s="43"/>
      <c r="K31" s="43"/>
    </row>
    <row r="32" spans="1:13" ht="60" customHeight="1">
      <c r="A32" s="77"/>
      <c r="B32" s="44"/>
      <c r="C32" s="54"/>
      <c r="D32" s="54"/>
      <c r="E32" s="54"/>
      <c r="F32" s="43"/>
      <c r="G32" s="43"/>
      <c r="H32" s="43"/>
      <c r="I32" s="43"/>
      <c r="J32" s="43"/>
      <c r="K32" s="43"/>
    </row>
    <row r="33" spans="1:11" ht="60" customHeight="1">
      <c r="A33" s="77"/>
      <c r="B33" s="44"/>
      <c r="C33" s="54"/>
      <c r="D33" s="54"/>
      <c r="E33" s="54"/>
      <c r="F33" s="43"/>
      <c r="G33" s="43"/>
      <c r="H33" s="43"/>
      <c r="I33" s="43"/>
      <c r="J33" s="43"/>
      <c r="K33" s="43"/>
    </row>
    <row r="34" spans="1:11" ht="60" customHeight="1"/>
    <row r="35" spans="1:11" ht="60" customHeight="1"/>
    <row r="36" spans="1:11" ht="60" customHeight="1"/>
    <row r="37" spans="1:11" ht="60" customHeight="1"/>
    <row r="38" spans="1:11" ht="60" customHeight="1"/>
    <row r="39" spans="1:11" ht="60" customHeight="1"/>
    <row r="40" spans="1:11" ht="60" customHeight="1"/>
    <row r="41" spans="1:11" ht="60" customHeight="1"/>
    <row r="42" spans="1:11" ht="60" customHeight="1"/>
    <row r="43" spans="1:11" ht="60" customHeight="1"/>
    <row r="44" spans="1:11" ht="60" customHeight="1"/>
    <row r="45" spans="1:11" ht="60" customHeight="1"/>
    <row r="46" spans="1:11" ht="60" customHeight="1"/>
    <row r="47" spans="1:11" ht="60" customHeight="1"/>
    <row r="48" spans="1:11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  <row r="233" ht="60" customHeight="1"/>
    <row r="234" ht="60" customHeight="1"/>
    <row r="235" ht="60" customHeight="1"/>
    <row r="236" ht="60" customHeight="1"/>
    <row r="237" ht="60" customHeight="1"/>
    <row r="238" ht="60" customHeight="1"/>
    <row r="239" ht="60" customHeight="1"/>
    <row r="240" ht="60" customHeight="1"/>
    <row r="241" ht="60" customHeight="1"/>
    <row r="242" ht="60" customHeight="1"/>
    <row r="243" ht="60" customHeight="1"/>
    <row r="244" ht="60" customHeight="1"/>
    <row r="245" ht="60" customHeight="1"/>
    <row r="246" ht="60" customHeight="1"/>
    <row r="247" ht="60" customHeight="1"/>
    <row r="248" ht="60" customHeight="1"/>
    <row r="249" ht="60" customHeight="1"/>
    <row r="250" ht="60" customHeight="1"/>
    <row r="251" ht="60" customHeight="1"/>
    <row r="252" ht="60" customHeight="1"/>
    <row r="253" ht="60" customHeight="1"/>
    <row r="254" ht="60" customHeight="1"/>
    <row r="255" ht="60" customHeight="1"/>
    <row r="256" ht="60" customHeight="1"/>
    <row r="257" ht="60" customHeight="1"/>
    <row r="258" ht="60" customHeight="1"/>
    <row r="259" ht="60" customHeight="1"/>
    <row r="260" ht="60" customHeight="1"/>
    <row r="261" ht="60" customHeight="1"/>
    <row r="262" ht="60" customHeight="1"/>
    <row r="263" ht="60" customHeight="1"/>
    <row r="264" ht="60" customHeight="1"/>
    <row r="265" ht="60" customHeight="1"/>
    <row r="266" ht="60" customHeight="1"/>
    <row r="267" ht="60" customHeight="1"/>
    <row r="268" ht="60" customHeight="1"/>
    <row r="269" ht="60" customHeight="1"/>
    <row r="270" ht="60" customHeight="1"/>
    <row r="271" ht="60" customHeight="1"/>
    <row r="272" ht="60" customHeight="1"/>
    <row r="273" ht="60" customHeight="1"/>
    <row r="274" ht="60" customHeight="1"/>
    <row r="275" ht="60" customHeight="1"/>
    <row r="276" ht="60" customHeight="1"/>
    <row r="277" ht="60" customHeight="1"/>
    <row r="278" ht="60" customHeight="1"/>
    <row r="279" ht="60" customHeight="1"/>
    <row r="280" ht="60" customHeight="1"/>
    <row r="281" ht="60" customHeight="1"/>
    <row r="282" ht="60" customHeight="1"/>
    <row r="283" ht="60" customHeight="1"/>
    <row r="284" ht="60" customHeight="1"/>
    <row r="285" ht="60" customHeight="1"/>
    <row r="286" ht="60" customHeight="1"/>
    <row r="287" ht="60" customHeight="1"/>
    <row r="288" ht="60" customHeight="1"/>
    <row r="289" ht="60" customHeight="1"/>
    <row r="290" ht="60" customHeight="1"/>
    <row r="291" ht="60" customHeight="1"/>
    <row r="292" ht="60" customHeight="1"/>
    <row r="293" ht="60" customHeight="1"/>
    <row r="294" ht="60" customHeight="1"/>
    <row r="295" ht="60" customHeight="1"/>
    <row r="296" ht="60" customHeight="1"/>
    <row r="297" ht="60" customHeight="1"/>
    <row r="298" ht="60" customHeight="1"/>
    <row r="299" ht="60" customHeight="1"/>
    <row r="300" ht="60" customHeight="1"/>
    <row r="301" ht="60" customHeight="1"/>
    <row r="302" ht="60" customHeight="1"/>
    <row r="303" ht="60" customHeight="1"/>
    <row r="304" ht="60" customHeight="1"/>
    <row r="305" ht="60" customHeight="1"/>
    <row r="306" ht="60" customHeight="1"/>
    <row r="307" ht="60" customHeight="1"/>
    <row r="308" ht="60" customHeight="1"/>
    <row r="309" ht="60" customHeight="1"/>
    <row r="310" ht="60" customHeight="1"/>
    <row r="311" ht="60" customHeight="1"/>
    <row r="312" ht="60" customHeight="1"/>
    <row r="313" ht="60" customHeight="1"/>
    <row r="314" ht="60" customHeight="1"/>
    <row r="315" ht="60" customHeight="1"/>
    <row r="316" ht="60" customHeight="1"/>
    <row r="317" ht="60" customHeight="1"/>
    <row r="318" ht="60" customHeight="1"/>
    <row r="319" ht="60" customHeight="1"/>
    <row r="320" ht="60" customHeight="1"/>
    <row r="321" ht="60" customHeight="1"/>
    <row r="322" ht="60" customHeight="1"/>
    <row r="323" ht="60" customHeight="1"/>
    <row r="324" ht="60" customHeight="1"/>
    <row r="325" ht="60" customHeight="1"/>
    <row r="326" ht="60" customHeight="1"/>
    <row r="327" ht="60" customHeight="1"/>
    <row r="328" ht="60" customHeight="1"/>
    <row r="329" ht="60" customHeight="1"/>
    <row r="330" ht="60" customHeight="1"/>
    <row r="331" ht="60" customHeight="1"/>
    <row r="332" ht="60" customHeight="1"/>
    <row r="333" ht="60" customHeight="1"/>
    <row r="334" ht="60" customHeight="1"/>
    <row r="335" ht="60" customHeight="1"/>
    <row r="336" ht="60" customHeight="1"/>
    <row r="337" ht="60" customHeight="1"/>
    <row r="338" ht="60" customHeight="1"/>
    <row r="339" ht="60" customHeight="1"/>
    <row r="340" ht="60" customHeight="1"/>
    <row r="341" ht="50.1" customHeight="1"/>
    <row r="342" ht="50.1" customHeight="1"/>
    <row r="343" ht="50.1" customHeight="1"/>
    <row r="344" ht="50.1" customHeight="1"/>
    <row r="345" ht="50.1" customHeight="1"/>
    <row r="346" ht="50.1" customHeight="1"/>
    <row r="347" ht="50.1" customHeight="1"/>
    <row r="348" ht="50.1" customHeight="1"/>
    <row r="349" ht="50.1" customHeight="1"/>
    <row r="350" ht="50.1" customHeight="1"/>
    <row r="351" ht="50.1" customHeight="1"/>
    <row r="352" ht="50.1" customHeight="1"/>
    <row r="353" ht="50.1" customHeight="1"/>
    <row r="354" ht="50.1" customHeight="1"/>
    <row r="355" ht="50.1" customHeight="1"/>
    <row r="356" ht="50.1" customHeight="1"/>
    <row r="357" ht="50.1" customHeight="1"/>
    <row r="358" ht="50.1" customHeight="1"/>
    <row r="359" ht="50.1" customHeight="1"/>
    <row r="360" ht="50.1" customHeight="1"/>
    <row r="361" ht="50.1" customHeight="1"/>
    <row r="362" ht="50.1" customHeight="1"/>
    <row r="363" ht="50.1" customHeight="1"/>
    <row r="364" ht="50.1" customHeight="1"/>
    <row r="365" ht="50.1" customHeight="1"/>
    <row r="366" ht="50.1" customHeight="1"/>
    <row r="367" ht="50.1" customHeight="1"/>
    <row r="368" ht="50.1" customHeight="1"/>
    <row r="369" ht="50.1" customHeight="1"/>
    <row r="370" ht="50.1" customHeight="1"/>
    <row r="371" ht="50.1" customHeight="1"/>
    <row r="372" ht="50.1" customHeight="1"/>
    <row r="373" ht="50.1" customHeight="1"/>
    <row r="374" ht="50.1" customHeight="1"/>
    <row r="375" ht="50.1" customHeight="1"/>
    <row r="376" ht="50.1" customHeight="1"/>
    <row r="377" ht="50.1" customHeight="1"/>
    <row r="378" ht="50.1" customHeight="1"/>
    <row r="379" ht="50.1" customHeight="1"/>
    <row r="380" ht="50.1" customHeight="1"/>
    <row r="381" ht="50.1" customHeight="1"/>
    <row r="382" ht="50.1" customHeight="1"/>
    <row r="383" ht="50.1" customHeight="1"/>
    <row r="384" ht="50.1" customHeight="1"/>
    <row r="385" ht="50.1" customHeight="1"/>
    <row r="386" ht="50.1" customHeight="1"/>
    <row r="387" ht="50.1" customHeight="1"/>
    <row r="388" ht="50.1" customHeight="1"/>
    <row r="389" ht="50.1" customHeight="1"/>
    <row r="390" ht="50.1" customHeight="1"/>
    <row r="391" ht="50.1" customHeight="1"/>
    <row r="392" ht="50.1" customHeight="1"/>
    <row r="393" ht="50.1" customHeight="1"/>
    <row r="394" ht="50.1" customHeight="1"/>
    <row r="395" ht="50.1" customHeight="1"/>
    <row r="396" ht="50.1" customHeight="1"/>
    <row r="397" ht="50.1" customHeight="1"/>
    <row r="398" ht="50.1" customHeight="1"/>
    <row r="399" ht="50.1" customHeight="1"/>
    <row r="400" ht="50.1" customHeight="1"/>
    <row r="401" ht="50.1" customHeight="1"/>
    <row r="402" ht="50.1" customHeight="1"/>
    <row r="403" ht="50.1" customHeight="1"/>
    <row r="404" ht="50.1" customHeight="1"/>
    <row r="405" ht="50.1" customHeight="1"/>
    <row r="406" ht="50.1" customHeight="1"/>
    <row r="407" ht="50.1" customHeight="1"/>
    <row r="408" ht="50.1" customHeight="1"/>
    <row r="409" ht="50.1" customHeight="1"/>
    <row r="410" ht="50.1" customHeight="1"/>
  </sheetData>
  <mergeCells count="35">
    <mergeCell ref="G2:K2"/>
    <mergeCell ref="M8:M10"/>
    <mergeCell ref="L8:L10"/>
    <mergeCell ref="D8:D10"/>
    <mergeCell ref="E8:E10"/>
    <mergeCell ref="I8:I10"/>
    <mergeCell ref="J8:J10"/>
    <mergeCell ref="F8:F10"/>
    <mergeCell ref="K8:K10"/>
    <mergeCell ref="C8:C10"/>
    <mergeCell ref="G8:G10"/>
    <mergeCell ref="H8:H10"/>
    <mergeCell ref="A6:D7"/>
    <mergeCell ref="C2:D2"/>
    <mergeCell ref="C3:D3"/>
    <mergeCell ref="C4:D4"/>
    <mergeCell ref="C5:D5"/>
    <mergeCell ref="A2:B2"/>
    <mergeCell ref="A3:B3"/>
    <mergeCell ref="B8:B10"/>
    <mergeCell ref="A4:B4"/>
    <mergeCell ref="A5:B5"/>
    <mergeCell ref="A8:A10"/>
    <mergeCell ref="E2:F2"/>
    <mergeCell ref="E3:F3"/>
    <mergeCell ref="L3:M7"/>
    <mergeCell ref="L2:M2"/>
    <mergeCell ref="A1:M1"/>
    <mergeCell ref="E4:F4"/>
    <mergeCell ref="E5:F7"/>
    <mergeCell ref="G7:K7"/>
    <mergeCell ref="G6:K6"/>
    <mergeCell ref="G5:K5"/>
    <mergeCell ref="G4:K4"/>
    <mergeCell ref="G3:K3"/>
  </mergeCells>
  <pageMargins left="0.63385826771653497" right="0.63385826771653497" top="0.74803149606299202" bottom="0.74803149606299202" header="0.31496062992126" footer="0.31496062992126"/>
  <pageSetup paperSize="9" scale="31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G140"/>
  <sheetViews>
    <sheetView showZeros="0" view="pageBreakPreview" zoomScale="50" zoomScaleNormal="25" zoomScaleSheetLayoutView="50" zoomScalePageLayoutView="25" workbookViewId="0">
      <selection activeCell="C20" sqref="C20"/>
    </sheetView>
  </sheetViews>
  <sheetFormatPr defaultColWidth="9.44140625" defaultRowHeight="39.9" customHeight="1"/>
  <cols>
    <col min="1" max="1" width="11.44140625" style="46" customWidth="1"/>
    <col min="2" max="2" width="48.44140625" style="46" customWidth="1"/>
    <col min="3" max="3" width="64.6640625" style="46" customWidth="1"/>
    <col min="4" max="4" width="53.88671875" style="46" customWidth="1"/>
    <col min="5" max="5" width="79.6640625" style="46" customWidth="1"/>
    <col min="6" max="6" width="80.33203125" style="46" customWidth="1"/>
    <col min="7" max="7" width="19.33203125" customWidth="1"/>
  </cols>
  <sheetData>
    <row r="1" spans="1:7" s="30" customFormat="1" ht="187.8" customHeight="1">
      <c r="A1" s="185" t="s">
        <v>299</v>
      </c>
      <c r="B1" s="185"/>
      <c r="C1" s="185"/>
      <c r="D1" s="185"/>
      <c r="E1" s="185"/>
      <c r="F1" s="185"/>
      <c r="G1" s="185"/>
    </row>
    <row r="2" spans="1:7" s="32" customFormat="1" ht="50.1" customHeight="1">
      <c r="A2" s="136" t="s">
        <v>7</v>
      </c>
      <c r="B2" s="136"/>
      <c r="C2" s="96"/>
      <c r="D2" s="20" t="s">
        <v>120</v>
      </c>
      <c r="E2" s="17">
        <f>Data!BF5</f>
        <v>0</v>
      </c>
      <c r="F2" s="11" t="s">
        <v>4</v>
      </c>
      <c r="G2" s="11"/>
    </row>
    <row r="3" spans="1:7" s="32" customFormat="1" ht="50.1" customHeight="1">
      <c r="A3" s="136" t="s">
        <v>145</v>
      </c>
      <c r="B3" s="136"/>
      <c r="C3" s="130">
        <f>Data!BC5</f>
        <v>0</v>
      </c>
      <c r="D3" s="18" t="s">
        <v>8</v>
      </c>
      <c r="E3" s="97">
        <f>Data!AX5</f>
        <v>0</v>
      </c>
      <c r="F3" s="10" t="str">
        <f>TRIM(Data!BG5)</f>
        <v/>
      </c>
      <c r="G3" s="10"/>
    </row>
    <row r="4" spans="1:7" s="21" customFormat="1" ht="50.1" customHeight="1">
      <c r="A4" s="136" t="s">
        <v>17</v>
      </c>
      <c r="B4" s="136"/>
      <c r="C4" s="130">
        <f>Data!BD5</f>
        <v>0</v>
      </c>
      <c r="D4" s="18" t="s">
        <v>139</v>
      </c>
      <c r="E4" s="97">
        <f>Data!BA5</f>
        <v>0</v>
      </c>
      <c r="F4" s="10"/>
      <c r="G4" s="10"/>
    </row>
    <row r="5" spans="1:7" s="21" customFormat="1" ht="50.1" customHeight="1">
      <c r="A5" s="137" t="s">
        <v>11</v>
      </c>
      <c r="B5" s="137"/>
      <c r="C5" s="131">
        <f>Data!AY5</f>
        <v>0</v>
      </c>
      <c r="D5" s="7" t="s">
        <v>14</v>
      </c>
      <c r="E5" s="17" t="str">
        <f>TRIM(Data!BF5)</f>
        <v/>
      </c>
      <c r="F5" s="10"/>
      <c r="G5" s="10"/>
    </row>
    <row r="6" spans="1:7" s="21" customFormat="1" ht="50.1" customHeight="1">
      <c r="A6" s="9">
        <f>Data!CZ5</f>
        <v>0</v>
      </c>
      <c r="B6" s="9"/>
      <c r="C6" s="9"/>
      <c r="D6" s="7"/>
      <c r="E6" s="17" t="str">
        <f>CONCATENATE(Data!BH5," ",Data!BI5," ",Data!BJ5," ",Data!BK5," ",Data!BL5)</f>
        <v xml:space="preserve">    </v>
      </c>
      <c r="F6" s="10"/>
      <c r="G6" s="10"/>
    </row>
    <row r="7" spans="1:7" s="21" customFormat="1" ht="50.1" customHeight="1">
      <c r="A7" s="9"/>
      <c r="B7" s="9"/>
      <c r="C7" s="9"/>
      <c r="D7" s="7"/>
      <c r="E7" s="17" t="str">
        <f>CONCATENATE(Data!BM5," ",Data!BN5," ",Data!BO5," ",Data!BP5)</f>
        <v xml:space="preserve">   </v>
      </c>
      <c r="F7" s="10"/>
      <c r="G7" s="10"/>
    </row>
    <row r="8" spans="1:7" s="47" customFormat="1" ht="50.1" customHeight="1">
      <c r="A8" s="186" t="s">
        <v>144</v>
      </c>
      <c r="B8" s="187" t="s">
        <v>122</v>
      </c>
      <c r="C8" s="187" t="s">
        <v>188</v>
      </c>
      <c r="D8" s="187" t="s">
        <v>189</v>
      </c>
      <c r="E8" s="11" t="s">
        <v>5</v>
      </c>
      <c r="F8" s="11"/>
      <c r="G8" s="11" t="s">
        <v>290</v>
      </c>
    </row>
    <row r="9" spans="1:7" s="47" customFormat="1" ht="14.25" hidden="1" customHeight="1">
      <c r="A9" s="186"/>
      <c r="B9" s="187"/>
      <c r="C9" s="187"/>
      <c r="D9" s="187"/>
      <c r="E9" s="11"/>
      <c r="F9" s="11"/>
      <c r="G9" s="11"/>
    </row>
    <row r="10" spans="1:7" s="48" customFormat="1" ht="78.75" customHeight="1">
      <c r="A10" s="186"/>
      <c r="B10" s="187"/>
      <c r="C10" s="187"/>
      <c r="D10" s="187"/>
      <c r="E10" s="11"/>
      <c r="F10" s="11"/>
      <c r="G10" s="11"/>
    </row>
    <row r="11" spans="1:7" s="48" customFormat="1" ht="8.25" hidden="1" customHeight="1">
      <c r="A11" s="98"/>
      <c r="B11" s="99"/>
      <c r="C11" s="16"/>
      <c r="D11" s="99"/>
      <c r="E11" s="16"/>
      <c r="F11" s="102"/>
      <c r="G11" s="117"/>
    </row>
    <row r="12" spans="1:7" s="39" customFormat="1" ht="60" customHeight="1">
      <c r="A12" s="100">
        <f>Data!AW11</f>
        <v>0</v>
      </c>
      <c r="B12" s="15">
        <f>Data!AY11</f>
        <v>0</v>
      </c>
      <c r="C12" s="45" t="str">
        <f>'Job Sheet'!O12</f>
        <v/>
      </c>
      <c r="D12" s="45" t="str">
        <f>'Job Sheet'!P12</f>
        <v/>
      </c>
      <c r="E12" s="188" t="str">
        <f>'Job Sheet'!AC12</f>
        <v/>
      </c>
      <c r="F12" s="188"/>
      <c r="G12" s="116">
        <f>A12</f>
        <v>0</v>
      </c>
    </row>
    <row r="13" spans="1:7" s="39" customFormat="1" ht="60" customHeight="1">
      <c r="A13" s="100">
        <f>Data!AW12</f>
        <v>0</v>
      </c>
      <c r="B13" s="15">
        <f>Data!AY12</f>
        <v>0</v>
      </c>
      <c r="C13" s="45" t="str">
        <f>'Job Sheet'!O13</f>
        <v/>
      </c>
      <c r="D13" s="45" t="str">
        <f>'Job Sheet'!P13</f>
        <v/>
      </c>
      <c r="E13" s="188" t="str">
        <f>'Job Sheet'!AC13</f>
        <v/>
      </c>
      <c r="F13" s="188"/>
      <c r="G13" s="116">
        <f t="shared" ref="G13:G21" si="0">A13</f>
        <v>0</v>
      </c>
    </row>
    <row r="14" spans="1:7" s="39" customFormat="1" ht="60" customHeight="1">
      <c r="A14" s="100">
        <f>Data!AW13</f>
        <v>0</v>
      </c>
      <c r="B14" s="15">
        <f>Data!AY13</f>
        <v>0</v>
      </c>
      <c r="C14" s="45" t="str">
        <f>'Job Sheet'!O14</f>
        <v/>
      </c>
      <c r="D14" s="45" t="str">
        <f>'Job Sheet'!P14</f>
        <v/>
      </c>
      <c r="E14" s="188" t="str">
        <f>'Job Sheet'!AC14</f>
        <v/>
      </c>
      <c r="F14" s="188"/>
      <c r="G14" s="116">
        <f t="shared" si="0"/>
        <v>0</v>
      </c>
    </row>
    <row r="15" spans="1:7" s="39" customFormat="1" ht="60" customHeight="1">
      <c r="A15" s="100">
        <f>Data!AW14</f>
        <v>0</v>
      </c>
      <c r="B15" s="15">
        <f>Data!AY14</f>
        <v>0</v>
      </c>
      <c r="C15" s="45" t="str">
        <f>'Job Sheet'!O15</f>
        <v/>
      </c>
      <c r="D15" s="45" t="str">
        <f>'Job Sheet'!P15</f>
        <v/>
      </c>
      <c r="E15" s="188" t="str">
        <f>'Job Sheet'!AC15</f>
        <v/>
      </c>
      <c r="F15" s="188"/>
      <c r="G15" s="116">
        <f t="shared" si="0"/>
        <v>0</v>
      </c>
    </row>
    <row r="16" spans="1:7" s="39" customFormat="1" ht="60" customHeight="1">
      <c r="A16" s="100">
        <f>Data!AW15</f>
        <v>0</v>
      </c>
      <c r="B16" s="15">
        <f>Data!AY15</f>
        <v>0</v>
      </c>
      <c r="C16" s="45" t="str">
        <f>'Job Sheet'!O16</f>
        <v/>
      </c>
      <c r="D16" s="45" t="str">
        <f>'Job Sheet'!P16</f>
        <v/>
      </c>
      <c r="E16" s="188" t="str">
        <f>'Job Sheet'!AC16</f>
        <v/>
      </c>
      <c r="F16" s="188"/>
      <c r="G16" s="116">
        <f t="shared" si="0"/>
        <v>0</v>
      </c>
    </row>
    <row r="17" spans="1:7" s="39" customFormat="1" ht="60" customHeight="1">
      <c r="A17" s="100">
        <f>Data!AW16</f>
        <v>0</v>
      </c>
      <c r="B17" s="15">
        <f>Data!AY16</f>
        <v>0</v>
      </c>
      <c r="C17" s="45" t="str">
        <f>'Job Sheet'!O17</f>
        <v/>
      </c>
      <c r="D17" s="45" t="str">
        <f>'Job Sheet'!P17</f>
        <v/>
      </c>
      <c r="E17" s="188" t="str">
        <f>'Job Sheet'!AC17</f>
        <v/>
      </c>
      <c r="F17" s="188"/>
      <c r="G17" s="116">
        <f t="shared" si="0"/>
        <v>0</v>
      </c>
    </row>
    <row r="18" spans="1:7" s="39" customFormat="1" ht="60" customHeight="1">
      <c r="A18" s="100">
        <f>Data!AW17</f>
        <v>0</v>
      </c>
      <c r="B18" s="15">
        <f>Data!AY17</f>
        <v>0</v>
      </c>
      <c r="C18" s="45" t="str">
        <f>'Job Sheet'!O18</f>
        <v/>
      </c>
      <c r="D18" s="45" t="str">
        <f>'Job Sheet'!P18</f>
        <v/>
      </c>
      <c r="E18" s="188" t="str">
        <f>'Job Sheet'!AC18</f>
        <v/>
      </c>
      <c r="F18" s="188"/>
      <c r="G18" s="116">
        <f t="shared" si="0"/>
        <v>0</v>
      </c>
    </row>
    <row r="19" spans="1:7" s="39" customFormat="1" ht="60" customHeight="1">
      <c r="A19" s="100">
        <f>Data!AW18</f>
        <v>0</v>
      </c>
      <c r="B19" s="15">
        <f>Data!AY18</f>
        <v>0</v>
      </c>
      <c r="C19" s="45" t="str">
        <f>'Job Sheet'!O19</f>
        <v/>
      </c>
      <c r="D19" s="45" t="str">
        <f>'Job Sheet'!P19</f>
        <v/>
      </c>
      <c r="E19" s="188" t="str">
        <f>'Job Sheet'!AC19</f>
        <v/>
      </c>
      <c r="F19" s="188"/>
      <c r="G19" s="116">
        <f t="shared" si="0"/>
        <v>0</v>
      </c>
    </row>
    <row r="20" spans="1:7" ht="60" customHeight="1">
      <c r="A20" s="100">
        <f>Data!AW19</f>
        <v>0</v>
      </c>
      <c r="B20" s="15">
        <f>Data!AY19</f>
        <v>0</v>
      </c>
      <c r="C20" s="45" t="str">
        <f>'Job Sheet'!O20</f>
        <v/>
      </c>
      <c r="D20" s="45" t="str">
        <f>'Job Sheet'!P20</f>
        <v/>
      </c>
      <c r="E20" s="188" t="str">
        <f>'Job Sheet'!AC20</f>
        <v/>
      </c>
      <c r="F20" s="188"/>
      <c r="G20" s="116">
        <f t="shared" si="0"/>
        <v>0</v>
      </c>
    </row>
    <row r="21" spans="1:7" ht="60" customHeight="1">
      <c r="A21" s="100">
        <f>Data!AW20</f>
        <v>0</v>
      </c>
      <c r="B21" s="15">
        <f>Data!AY20</f>
        <v>0</v>
      </c>
      <c r="C21" s="45" t="str">
        <f>'Job Sheet'!O21</f>
        <v/>
      </c>
      <c r="D21" s="45" t="str">
        <f>'Job Sheet'!P21</f>
        <v/>
      </c>
      <c r="E21" s="188" t="str">
        <f>'Job Sheet'!AC21</f>
        <v/>
      </c>
      <c r="F21" s="188"/>
      <c r="G21" s="116">
        <f t="shared" si="0"/>
        <v>0</v>
      </c>
    </row>
    <row r="22" spans="1:7" ht="60" customHeight="1"/>
    <row r="23" spans="1:7" ht="60" customHeight="1"/>
    <row r="24" spans="1:7" ht="60" customHeight="1"/>
    <row r="25" spans="1:7" ht="60" customHeight="1"/>
    <row r="26" spans="1:7" ht="60" customHeight="1"/>
    <row r="27" spans="1:7" ht="60" customHeight="1"/>
    <row r="28" spans="1:7" ht="60" customHeight="1"/>
    <row r="29" spans="1:7" ht="60" customHeight="1"/>
    <row r="30" spans="1:7" ht="60" customHeight="1"/>
    <row r="31" spans="1:7" ht="60" customHeight="1"/>
    <row r="32" spans="1:7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</sheetData>
  <sheetProtection formatCells="0" formatRows="0" insertColumns="0" insertRows="0"/>
  <mergeCells count="25">
    <mergeCell ref="E17:F17"/>
    <mergeCell ref="E18:F18"/>
    <mergeCell ref="E19:F19"/>
    <mergeCell ref="E20:F20"/>
    <mergeCell ref="E21:F21"/>
    <mergeCell ref="E12:F12"/>
    <mergeCell ref="E13:F13"/>
    <mergeCell ref="E14:F14"/>
    <mergeCell ref="E15:F15"/>
    <mergeCell ref="E16:F16"/>
    <mergeCell ref="G8:G10"/>
    <mergeCell ref="F3:G7"/>
    <mergeCell ref="F2:G2"/>
    <mergeCell ref="A1:G1"/>
    <mergeCell ref="A8:A10"/>
    <mergeCell ref="B8:B10"/>
    <mergeCell ref="C8:C10"/>
    <mergeCell ref="D8:D10"/>
    <mergeCell ref="E8:F10"/>
    <mergeCell ref="A6:C7"/>
    <mergeCell ref="D5:D7"/>
    <mergeCell ref="A2:B2"/>
    <mergeCell ref="A3:B3"/>
    <mergeCell ref="A4:B4"/>
    <mergeCell ref="A5:B5"/>
  </mergeCells>
  <printOptions horizontalCentered="1"/>
  <pageMargins left="0.55511811023622004" right="0.55511811023622004" top="0.15748031496063" bottom="0.196850393700787" header="0.118110236220472" footer="0.118110236220472"/>
  <pageSetup paperSize="9" scale="37" fitToHeight="0" orientation="landscape" r:id="rId1"/>
  <headerFooter alignWithMargins="0">
    <oddFooter>&amp;L&amp;P of  &amp;N&amp;C&amp;Z&amp;F&amp;R&amp;D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I248"/>
  <sheetViews>
    <sheetView showZeros="0" tabSelected="1" view="pageBreakPreview" zoomScale="40" zoomScaleNormal="50" zoomScaleSheetLayoutView="40" zoomScalePageLayoutView="25" workbookViewId="0">
      <selection activeCell="D11" sqref="D11"/>
    </sheetView>
  </sheetViews>
  <sheetFormatPr defaultColWidth="9.44140625" defaultRowHeight="39.9" customHeight="1"/>
  <cols>
    <col min="1" max="1" width="14.33203125" style="75" customWidth="1"/>
    <col min="2" max="2" width="48.44140625" style="75" customWidth="1"/>
    <col min="3" max="3" width="60.88671875" style="75" customWidth="1"/>
    <col min="4" max="4" width="29.33203125" style="75" customWidth="1"/>
    <col min="5" max="5" width="25.33203125" style="75" customWidth="1"/>
    <col min="6" max="6" width="38.88671875" style="75" customWidth="1"/>
    <col min="7" max="7" width="40.33203125" style="75" customWidth="1"/>
    <col min="8" max="8" width="110.5546875" style="75" customWidth="1"/>
    <col min="9" max="9" width="20.44140625" customWidth="1"/>
    <col min="10" max="12" width="9.44140625" customWidth="1"/>
  </cols>
  <sheetData>
    <row r="1" spans="1:9" s="30" customFormat="1" ht="219" customHeight="1">
      <c r="A1" s="189" t="s">
        <v>180</v>
      </c>
      <c r="B1" s="189"/>
      <c r="C1" s="189"/>
      <c r="D1" s="189"/>
      <c r="E1" s="189"/>
      <c r="F1" s="189"/>
      <c r="G1" s="189"/>
      <c r="H1" s="189"/>
      <c r="I1" s="189"/>
    </row>
    <row r="2" spans="1:9" s="32" customFormat="1" ht="50.1" customHeight="1">
      <c r="A2" s="136" t="s">
        <v>7</v>
      </c>
      <c r="B2" s="136"/>
      <c r="C2" s="20"/>
      <c r="D2" s="8" t="s">
        <v>120</v>
      </c>
      <c r="E2" s="8"/>
      <c r="F2" s="4">
        <f>Data!BF5</f>
        <v>0</v>
      </c>
      <c r="G2" s="4"/>
      <c r="H2" s="11" t="s">
        <v>4</v>
      </c>
      <c r="I2" s="11"/>
    </row>
    <row r="3" spans="1:9" s="32" customFormat="1" ht="50.1" customHeight="1">
      <c r="A3" s="136" t="s">
        <v>145</v>
      </c>
      <c r="B3" s="136"/>
      <c r="C3" s="19">
        <f>Data!BC5</f>
        <v>0</v>
      </c>
      <c r="D3" s="5" t="s">
        <v>8</v>
      </c>
      <c r="E3" s="5"/>
      <c r="F3" s="4" t="str">
        <f>TRIM(Data!AX5)</f>
        <v/>
      </c>
      <c r="G3" s="4"/>
      <c r="H3" s="10" t="str">
        <f>TRIM(Data!BG5)</f>
        <v/>
      </c>
      <c r="I3" s="10"/>
    </row>
    <row r="4" spans="1:9" s="21" customFormat="1" ht="50.1" customHeight="1">
      <c r="A4" s="136" t="s">
        <v>17</v>
      </c>
      <c r="B4" s="136"/>
      <c r="C4" s="19">
        <f>Data!BD5</f>
        <v>0</v>
      </c>
      <c r="D4" s="5" t="s">
        <v>139</v>
      </c>
      <c r="E4" s="5"/>
      <c r="F4" s="4" t="str">
        <f>LEFT(Data!BA5,10)</f>
        <v/>
      </c>
      <c r="G4" s="4"/>
      <c r="H4" s="10"/>
      <c r="I4" s="10"/>
    </row>
    <row r="5" spans="1:9" s="21" customFormat="1" ht="50.1" customHeight="1">
      <c r="A5" s="11" t="s">
        <v>11</v>
      </c>
      <c r="B5" s="11"/>
      <c r="C5" s="19">
        <f>Data!AY5</f>
        <v>0</v>
      </c>
      <c r="D5" s="7" t="s">
        <v>14</v>
      </c>
      <c r="E5" s="7"/>
      <c r="F5" s="4" t="str">
        <f>TRIM(Data!BF5)</f>
        <v/>
      </c>
      <c r="G5" s="4"/>
      <c r="H5" s="10"/>
      <c r="I5" s="10"/>
    </row>
    <row r="6" spans="1:9" s="21" customFormat="1" ht="50.1" customHeight="1">
      <c r="A6" s="9">
        <f>Data!CZ5</f>
        <v>0</v>
      </c>
      <c r="B6" s="9"/>
      <c r="C6" s="9"/>
      <c r="D6" s="7"/>
      <c r="E6" s="7"/>
      <c r="F6" s="4" t="str">
        <f>CONCATENATE(Data!BH5," ",Data!BI5," ",Data!BJ5," ",Data!BK5," ",Data!BL5)</f>
        <v xml:space="preserve">    </v>
      </c>
      <c r="G6" s="4"/>
      <c r="H6" s="10"/>
      <c r="I6" s="10"/>
    </row>
    <row r="7" spans="1:9" s="21" customFormat="1" ht="50.1" customHeight="1">
      <c r="A7" s="9"/>
      <c r="B7" s="9"/>
      <c r="C7" s="9"/>
      <c r="D7" s="7"/>
      <c r="E7" s="7"/>
      <c r="F7" s="4" t="str">
        <f>CONCATENATE(Data!BM5," ",Data!BN5," ",Data!BO5," ",Data!BP5)</f>
        <v xml:space="preserve">   </v>
      </c>
      <c r="G7" s="4"/>
      <c r="H7" s="10"/>
      <c r="I7" s="10"/>
    </row>
    <row r="8" spans="1:9" s="21" customFormat="1" ht="50.1" customHeight="1">
      <c r="A8" s="186" t="s">
        <v>144</v>
      </c>
      <c r="B8" s="187" t="s">
        <v>122</v>
      </c>
      <c r="C8" s="11" t="s">
        <v>10</v>
      </c>
      <c r="D8" s="11" t="s">
        <v>293</v>
      </c>
      <c r="E8" s="11" t="s">
        <v>178</v>
      </c>
      <c r="F8" s="11" t="s">
        <v>207</v>
      </c>
      <c r="G8" s="11" t="s">
        <v>208</v>
      </c>
      <c r="H8" s="11" t="s">
        <v>5</v>
      </c>
      <c r="I8" s="11" t="s">
        <v>290</v>
      </c>
    </row>
    <row r="9" spans="1:9" s="22" customFormat="1" ht="93.75" customHeight="1">
      <c r="A9" s="186"/>
      <c r="B9" s="187"/>
      <c r="C9" s="11"/>
      <c r="D9" s="11"/>
      <c r="E9" s="11"/>
      <c r="F9" s="11"/>
      <c r="G9" s="11"/>
      <c r="H9" s="11"/>
      <c r="I9" s="11"/>
    </row>
    <row r="10" spans="1:9" s="22" customFormat="1" ht="0.75" customHeight="1">
      <c r="A10" s="98"/>
      <c r="B10" s="99"/>
      <c r="C10" s="16"/>
      <c r="D10" s="16"/>
      <c r="E10" s="16"/>
      <c r="F10" s="16"/>
      <c r="G10" s="16"/>
      <c r="H10" s="16"/>
      <c r="I10" s="16"/>
    </row>
    <row r="11" spans="1:9" s="39" customFormat="1" ht="60" customHeight="1">
      <c r="A11" s="72">
        <f>Data!AW11</f>
        <v>0</v>
      </c>
      <c r="B11" s="15">
        <f>Data!AY11</f>
        <v>0</v>
      </c>
      <c r="C11" s="45" t="str">
        <f>'Job Sheet'!T12</f>
        <v/>
      </c>
      <c r="D11" s="45"/>
      <c r="E11" s="133" t="str">
        <f>IF(Data!AW11="","",'Job Sheet'!J12/600)</f>
        <v/>
      </c>
      <c r="F11" s="134" t="str">
        <f>IF(Data!AV11="","",VLOOKUP('Job Sheet'!O12,Channels,3,FALSE))</f>
        <v/>
      </c>
      <c r="G11" s="134" t="str">
        <f>IF(Data!AV11="","",VLOOKUP('Job Sheet'!O12,Channels,4,FALSE))</f>
        <v/>
      </c>
      <c r="H11" s="45" t="str">
        <f>'Job Sheet'!AC12</f>
        <v/>
      </c>
      <c r="I11" s="120">
        <f>A11</f>
        <v>0</v>
      </c>
    </row>
    <row r="12" spans="1:9" s="39" customFormat="1" ht="60" customHeight="1">
      <c r="A12" s="72">
        <f>Data!AW12</f>
        <v>0</v>
      </c>
      <c r="B12" s="15">
        <f>Data!AY12</f>
        <v>0</v>
      </c>
      <c r="C12" s="45" t="str">
        <f>'Job Sheet'!T13</f>
        <v/>
      </c>
      <c r="D12" s="45"/>
      <c r="E12" s="133" t="str">
        <f>IF(Data!AW12="","",'Job Sheet'!J13/600)</f>
        <v/>
      </c>
      <c r="F12" s="134" t="str">
        <f>IF(Data!AV12="","",VLOOKUP('Job Sheet'!O13,Channels,3,FALSE))</f>
        <v/>
      </c>
      <c r="G12" s="134" t="str">
        <f>IF(Data!AV12="","",VLOOKUP('Job Sheet'!O13,Channels,4,FALSE))</f>
        <v/>
      </c>
      <c r="H12" s="45" t="str">
        <f>'Job Sheet'!AC13</f>
        <v/>
      </c>
      <c r="I12" s="120">
        <f t="shared" ref="I12:I20" si="0">A12</f>
        <v>0</v>
      </c>
    </row>
    <row r="13" spans="1:9" s="39" customFormat="1" ht="60" customHeight="1">
      <c r="A13" s="72">
        <f>Data!AW13</f>
        <v>0</v>
      </c>
      <c r="B13" s="15">
        <f>Data!AY13</f>
        <v>0</v>
      </c>
      <c r="C13" s="45" t="str">
        <f>'Job Sheet'!T14</f>
        <v/>
      </c>
      <c r="D13" s="45"/>
      <c r="E13" s="133" t="str">
        <f>IF(Data!AW13="","",'Job Sheet'!J14/600)</f>
        <v/>
      </c>
      <c r="F13" s="134" t="str">
        <f>IF(Data!AV13="","",VLOOKUP('Job Sheet'!O14,Channels,3,FALSE))</f>
        <v/>
      </c>
      <c r="G13" s="134" t="str">
        <f>IF(Data!AV13="","",VLOOKUP('Job Sheet'!O14,Channels,4,FALSE))</f>
        <v/>
      </c>
      <c r="H13" s="45" t="str">
        <f>'Job Sheet'!AC14</f>
        <v/>
      </c>
      <c r="I13" s="120">
        <f t="shared" si="0"/>
        <v>0</v>
      </c>
    </row>
    <row r="14" spans="1:9" s="39" customFormat="1" ht="60" customHeight="1">
      <c r="A14" s="72">
        <f>Data!AW14</f>
        <v>0</v>
      </c>
      <c r="B14" s="15">
        <f>Data!AY14</f>
        <v>0</v>
      </c>
      <c r="C14" s="45" t="str">
        <f>'Job Sheet'!T15</f>
        <v/>
      </c>
      <c r="D14" s="45"/>
      <c r="E14" s="133" t="str">
        <f>IF(Data!AW14="","",'Job Sheet'!J15/600)</f>
        <v/>
      </c>
      <c r="F14" s="134" t="str">
        <f>IF(Data!AV14="","",VLOOKUP('Job Sheet'!O15,Channels,3,FALSE))</f>
        <v/>
      </c>
      <c r="G14" s="134" t="str">
        <f>IF(Data!AV14="","",VLOOKUP('Job Sheet'!O15,Channels,4,FALSE))</f>
        <v/>
      </c>
      <c r="H14" s="45" t="str">
        <f>'Job Sheet'!AC15</f>
        <v/>
      </c>
      <c r="I14" s="120">
        <f t="shared" si="0"/>
        <v>0</v>
      </c>
    </row>
    <row r="15" spans="1:9" s="39" customFormat="1" ht="60" customHeight="1">
      <c r="A15" s="72">
        <f>Data!AW15</f>
        <v>0</v>
      </c>
      <c r="B15" s="15">
        <f>Data!AY15</f>
        <v>0</v>
      </c>
      <c r="C15" s="45" t="str">
        <f>'Job Sheet'!T16</f>
        <v/>
      </c>
      <c r="D15" s="45"/>
      <c r="E15" s="133" t="str">
        <f>IF(Data!AW15="","",'Job Sheet'!J16/600)</f>
        <v/>
      </c>
      <c r="F15" s="134" t="str">
        <f>IF(Data!AV15="","",VLOOKUP('Job Sheet'!O16,Channels,3,FALSE))</f>
        <v/>
      </c>
      <c r="G15" s="134" t="str">
        <f>IF(Data!AV15="","",VLOOKUP('Job Sheet'!O16,Channels,4,FALSE))</f>
        <v/>
      </c>
      <c r="H15" s="45" t="str">
        <f>'Job Sheet'!AC16</f>
        <v/>
      </c>
      <c r="I15" s="120">
        <f t="shared" si="0"/>
        <v>0</v>
      </c>
    </row>
    <row r="16" spans="1:9" s="39" customFormat="1" ht="60" customHeight="1">
      <c r="A16" s="72">
        <f>Data!AW16</f>
        <v>0</v>
      </c>
      <c r="B16" s="15">
        <f>Data!AY16</f>
        <v>0</v>
      </c>
      <c r="C16" s="45" t="str">
        <f>'Job Sheet'!T17</f>
        <v/>
      </c>
      <c r="D16" s="45"/>
      <c r="E16" s="133" t="str">
        <f>IF(Data!AW16="","",'Job Sheet'!J17/600)</f>
        <v/>
      </c>
      <c r="F16" s="134" t="str">
        <f>IF(Data!AV16="","",VLOOKUP('Job Sheet'!O17,Channels,3,FALSE))</f>
        <v/>
      </c>
      <c r="G16" s="134" t="str">
        <f>IF(Data!AV16="","",VLOOKUP('Job Sheet'!O17,Channels,4,FALSE))</f>
        <v/>
      </c>
      <c r="H16" s="45" t="str">
        <f>'Job Sheet'!AC17</f>
        <v/>
      </c>
      <c r="I16" s="120">
        <f t="shared" si="0"/>
        <v>0</v>
      </c>
    </row>
    <row r="17" spans="1:9" s="39" customFormat="1" ht="60" customHeight="1">
      <c r="A17" s="72">
        <f>Data!AW17</f>
        <v>0</v>
      </c>
      <c r="B17" s="15">
        <f>Data!AY17</f>
        <v>0</v>
      </c>
      <c r="C17" s="45" t="str">
        <f>'Job Sheet'!T18</f>
        <v/>
      </c>
      <c r="D17" s="45"/>
      <c r="E17" s="133" t="str">
        <f>IF(Data!AW17="","",'Job Sheet'!J18/600)</f>
        <v/>
      </c>
      <c r="F17" s="134" t="str">
        <f>IF(Data!AV17="","",VLOOKUP('Job Sheet'!O18,Channels,3,FALSE))</f>
        <v/>
      </c>
      <c r="G17" s="134" t="str">
        <f>IF(Data!AV17="","",VLOOKUP('Job Sheet'!O18,Channels,4,FALSE))</f>
        <v/>
      </c>
      <c r="H17" s="45" t="str">
        <f>'Job Sheet'!AC18</f>
        <v/>
      </c>
      <c r="I17" s="120">
        <f t="shared" si="0"/>
        <v>0</v>
      </c>
    </row>
    <row r="18" spans="1:9" s="39" customFormat="1" ht="60" customHeight="1">
      <c r="A18" s="72">
        <f>Data!AW18</f>
        <v>0</v>
      </c>
      <c r="B18" s="15">
        <f>Data!AY18</f>
        <v>0</v>
      </c>
      <c r="C18" s="45" t="str">
        <f>'Job Sheet'!T19</f>
        <v/>
      </c>
      <c r="D18" s="45"/>
      <c r="E18" s="133" t="str">
        <f>IF(Data!AW18="","",'Job Sheet'!J19/600)</f>
        <v/>
      </c>
      <c r="F18" s="134" t="str">
        <f>IF(Data!AV18="","",VLOOKUP('Job Sheet'!O19,Channels,3,FALSE))</f>
        <v/>
      </c>
      <c r="G18" s="134" t="str">
        <f>IF(Data!AV18="","",VLOOKUP('Job Sheet'!O19,Channels,4,FALSE))</f>
        <v/>
      </c>
      <c r="H18" s="45" t="str">
        <f>'Job Sheet'!AC19</f>
        <v/>
      </c>
      <c r="I18" s="120">
        <f t="shared" si="0"/>
        <v>0</v>
      </c>
    </row>
    <row r="19" spans="1:9" s="39" customFormat="1" ht="60" customHeight="1">
      <c r="A19" s="72">
        <f>Data!AW19</f>
        <v>0</v>
      </c>
      <c r="B19" s="15">
        <f>Data!AY19</f>
        <v>0</v>
      </c>
      <c r="C19" s="45" t="str">
        <f>'Job Sheet'!T20</f>
        <v/>
      </c>
      <c r="D19" s="45"/>
      <c r="E19" s="133" t="str">
        <f>IF(Data!AW19="","",'Job Sheet'!J20/600)</f>
        <v/>
      </c>
      <c r="F19" s="134" t="str">
        <f>IF(Data!AV19="","",VLOOKUP('Job Sheet'!O20,Channels,3,FALSE))</f>
        <v/>
      </c>
      <c r="G19" s="134" t="str">
        <f>IF(Data!AV19="","",VLOOKUP('Job Sheet'!O20,Channels,4,FALSE))</f>
        <v/>
      </c>
      <c r="H19" s="45" t="str">
        <f>'Job Sheet'!AC20</f>
        <v/>
      </c>
      <c r="I19" s="120">
        <f t="shared" si="0"/>
        <v>0</v>
      </c>
    </row>
    <row r="20" spans="1:9" ht="60" customHeight="1">
      <c r="A20" s="72">
        <f>Data!AW20</f>
        <v>0</v>
      </c>
      <c r="B20" s="15">
        <f>Data!AY20</f>
        <v>0</v>
      </c>
      <c r="C20" s="45" t="str">
        <f>'Job Sheet'!T21</f>
        <v/>
      </c>
      <c r="D20" s="45"/>
      <c r="E20" s="133" t="str">
        <f>IF(Data!AW20="","",'Job Sheet'!J21/600)</f>
        <v/>
      </c>
      <c r="F20" s="134" t="str">
        <f>IF(Data!AV20="","",VLOOKUP('Job Sheet'!O21,Channels,3,FALSE))</f>
        <v/>
      </c>
      <c r="G20" s="134" t="str">
        <f>IF(Data!AV20="","",VLOOKUP('Job Sheet'!O21,Channels,4,FALSE))</f>
        <v/>
      </c>
      <c r="H20" s="45" t="str">
        <f>'Job Sheet'!AC21</f>
        <v/>
      </c>
      <c r="I20" s="120">
        <f t="shared" si="0"/>
        <v>0</v>
      </c>
    </row>
    <row r="21" spans="1:9" ht="60" customHeight="1"/>
    <row r="22" spans="1:9" ht="60" customHeight="1"/>
    <row r="23" spans="1:9" ht="60" customHeight="1"/>
    <row r="24" spans="1:9" ht="60" customHeight="1"/>
    <row r="25" spans="1:9" ht="60" customHeight="1"/>
    <row r="26" spans="1:9" ht="60" customHeight="1"/>
    <row r="27" spans="1:9" ht="60" customHeight="1"/>
    <row r="28" spans="1:9" ht="60" customHeight="1"/>
    <row r="29" spans="1:9" ht="60" customHeight="1"/>
    <row r="30" spans="1:9" ht="60" customHeight="1"/>
    <row r="31" spans="1:9" ht="60" customHeight="1"/>
    <row r="32" spans="1:9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</sheetData>
  <sheetProtection formatCells="0" formatRows="0" insertColumns="0" insertRows="0"/>
  <mergeCells count="27">
    <mergeCell ref="H8:H9"/>
    <mergeCell ref="I8:I9"/>
    <mergeCell ref="G8:G9"/>
    <mergeCell ref="F8:F9"/>
    <mergeCell ref="A2:B2"/>
    <mergeCell ref="A3:B3"/>
    <mergeCell ref="A4:B4"/>
    <mergeCell ref="A5:B5"/>
    <mergeCell ref="E8:E9"/>
    <mergeCell ref="A8:A9"/>
    <mergeCell ref="B8:B9"/>
    <mergeCell ref="C8:C9"/>
    <mergeCell ref="A6:C7"/>
    <mergeCell ref="D8:D9"/>
    <mergeCell ref="H3:I7"/>
    <mergeCell ref="F2:G2"/>
    <mergeCell ref="F7:G7"/>
    <mergeCell ref="D5:E7"/>
    <mergeCell ref="H2:I2"/>
    <mergeCell ref="A1:I1"/>
    <mergeCell ref="F3:G3"/>
    <mergeCell ref="F4:G4"/>
    <mergeCell ref="F5:G5"/>
    <mergeCell ref="F6:G6"/>
    <mergeCell ref="D2:E2"/>
    <mergeCell ref="D3:E3"/>
    <mergeCell ref="D4:E4"/>
  </mergeCells>
  <printOptions horizontalCentered="1"/>
  <pageMargins left="0.57874015748033403" right="0.57874015748033403" top="0.15748031496063" bottom="0.196850393700787" header="0.118110236220472" footer="0.118110236220472"/>
  <pageSetup paperSize="9" scale="35" fitToHeight="0" orientation="landscape" r:id="rId1"/>
  <headerFooter alignWithMargins="0">
    <oddFooter>&amp;L&amp;P of  &amp;N&amp;C&amp;Z&amp;F&amp;R&amp;D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83263-7069-4BCD-A93B-B87B6A21C813}">
  <sheetPr codeName="Sheet1">
    <pageSetUpPr fitToPage="1"/>
  </sheetPr>
  <dimension ref="A1:M203"/>
  <sheetViews>
    <sheetView topLeftCell="A2" zoomScale="80" zoomScaleNormal="80" workbookViewId="0">
      <selection activeCell="F16" sqref="F16"/>
    </sheetView>
  </sheetViews>
  <sheetFormatPr defaultColWidth="9.109375" defaultRowHeight="13.2"/>
  <cols>
    <col min="1" max="1" width="10.44140625" style="65" customWidth="1"/>
    <col min="2" max="2" width="30.5546875" style="65" customWidth="1"/>
    <col min="3" max="3" width="31.44140625" style="65" customWidth="1"/>
    <col min="4" max="4" width="27.33203125" style="65" customWidth="1"/>
    <col min="5" max="5" width="39.33203125" style="65" customWidth="1"/>
    <col min="6" max="6" width="17.88671875" style="65" customWidth="1"/>
    <col min="7" max="8" width="19.88671875" style="65" customWidth="1"/>
    <col min="9" max="9" width="14.5546875" style="65" customWidth="1"/>
    <col min="10" max="10" width="16" style="69" customWidth="1"/>
    <col min="11" max="11" width="19.5546875" style="69" customWidth="1"/>
    <col min="12" max="12" width="21.33203125" style="65" customWidth="1"/>
    <col min="13" max="13" width="41.109375" customWidth="1"/>
  </cols>
  <sheetData>
    <row r="1" spans="1:13" ht="11.25" customHeight="1">
      <c r="H1" s="66"/>
      <c r="I1" s="66"/>
      <c r="J1" s="66"/>
      <c r="K1" s="66"/>
      <c r="L1" s="66"/>
    </row>
    <row r="2" spans="1:13" ht="78" customHeight="1">
      <c r="A2" s="199" t="s">
        <v>236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1"/>
    </row>
    <row r="3" spans="1:13" ht="45.75" customHeight="1">
      <c r="A3" s="202" t="s">
        <v>237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4"/>
    </row>
    <row r="4" spans="1:13" ht="39.9" customHeight="1">
      <c r="A4" s="209" t="s">
        <v>7</v>
      </c>
      <c r="B4" s="210"/>
      <c r="C4" s="211"/>
      <c r="D4" s="212"/>
      <c r="E4" s="213" t="s">
        <v>120</v>
      </c>
      <c r="F4" s="213"/>
      <c r="G4" s="214">
        <f>Data!BF5</f>
        <v>0</v>
      </c>
      <c r="H4" s="215"/>
      <c r="I4" s="215"/>
      <c r="J4" s="215"/>
      <c r="K4" s="216"/>
      <c r="L4" s="217" t="s">
        <v>4</v>
      </c>
      <c r="M4" s="218"/>
    </row>
    <row r="5" spans="1:13" ht="39.9" customHeight="1">
      <c r="A5" s="219" t="s">
        <v>145</v>
      </c>
      <c r="B5" s="220"/>
      <c r="C5" s="221">
        <f>Data!BC5</f>
        <v>0</v>
      </c>
      <c r="D5" s="222"/>
      <c r="E5" s="223" t="s">
        <v>8</v>
      </c>
      <c r="F5" s="223"/>
      <c r="G5" s="224" t="str">
        <f>TRIM(Data!AX5)</f>
        <v/>
      </c>
      <c r="H5" s="4"/>
      <c r="I5" s="4"/>
      <c r="J5" s="4"/>
      <c r="K5" s="225"/>
      <c r="L5" s="205" t="str">
        <f>TRIM(Data!BG5)</f>
        <v/>
      </c>
      <c r="M5" s="206"/>
    </row>
    <row r="6" spans="1:13" ht="39.9" customHeight="1">
      <c r="A6" s="226" t="s">
        <v>17</v>
      </c>
      <c r="B6" s="227"/>
      <c r="C6" s="228">
        <f>Data!BD5</f>
        <v>0</v>
      </c>
      <c r="D6" s="229"/>
      <c r="E6" s="230" t="s">
        <v>139</v>
      </c>
      <c r="F6" s="230"/>
      <c r="G6" s="231" t="str">
        <f>LEFT(Data!BA5,10)</f>
        <v/>
      </c>
      <c r="H6" s="232"/>
      <c r="I6" s="232"/>
      <c r="J6" s="232"/>
      <c r="K6" s="233"/>
      <c r="L6" s="207"/>
      <c r="M6" s="208"/>
    </row>
    <row r="7" spans="1:13" ht="12.75" customHeight="1">
      <c r="A7" s="192" t="s">
        <v>144</v>
      </c>
      <c r="B7" s="195" t="s">
        <v>122</v>
      </c>
      <c r="C7" s="190" t="s">
        <v>238</v>
      </c>
      <c r="D7" s="190" t="s">
        <v>228</v>
      </c>
      <c r="E7" s="198" t="s">
        <v>239</v>
      </c>
      <c r="F7" s="198" t="s">
        <v>13</v>
      </c>
      <c r="G7" s="198" t="s">
        <v>240</v>
      </c>
      <c r="H7" s="198" t="s">
        <v>241</v>
      </c>
      <c r="I7" s="190" t="s">
        <v>242</v>
      </c>
      <c r="J7" s="190" t="s">
        <v>243</v>
      </c>
      <c r="K7" s="190" t="s">
        <v>247</v>
      </c>
      <c r="L7" s="190" t="s">
        <v>244</v>
      </c>
      <c r="M7" s="190" t="s">
        <v>5</v>
      </c>
    </row>
    <row r="8" spans="1:13" ht="12.75" customHeight="1">
      <c r="A8" s="193"/>
      <c r="B8" s="196"/>
      <c r="C8" s="190"/>
      <c r="D8" s="190"/>
      <c r="E8" s="190"/>
      <c r="F8" s="190"/>
      <c r="G8" s="190"/>
      <c r="H8" s="190"/>
      <c r="I8" s="190"/>
      <c r="J8" s="190"/>
      <c r="K8" s="190"/>
      <c r="L8" s="190"/>
      <c r="M8" s="190"/>
    </row>
    <row r="9" spans="1:13" ht="68.25" customHeight="1">
      <c r="A9" s="194"/>
      <c r="B9" s="197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</row>
    <row r="10" spans="1:13" ht="68.400000000000006">
      <c r="A10" s="68" t="str">
        <f>IF(Data!AW11="","",'Job Sheet'!A12)</f>
        <v/>
      </c>
      <c r="B10" s="68" t="str">
        <f>IF(Data!AW11="","",IF('Job Sheet'!T12="","",IF('Job Sheet'!T12="None","",'Job Sheet'!B12)))</f>
        <v/>
      </c>
      <c r="C10" s="68" t="str">
        <f>IF(Data!AW11="","",IF('Job Sheet'!T12="","",IF('Job Sheet'!T12="None","",'Job Sheet'!T12)))</f>
        <v/>
      </c>
      <c r="D10" s="68" t="str">
        <f>'Job Sheet'!V12</f>
        <v/>
      </c>
      <c r="E10" s="68" t="str">
        <f>IF(Data!AW11="","",IF('Job Sheet'!T12="","",IF('Job Sheet'!T12="None","",'Job Sheet'!L12)))</f>
        <v/>
      </c>
      <c r="F10" s="68" t="str">
        <f>IF(Data!AW11="","",IF('Job Sheet'!T12="","",IF('Job Sheet'!T12="None","",'Job Sheet'!M12)))</f>
        <v/>
      </c>
      <c r="G10" s="68" t="str">
        <f>'Job Sheet'!S12</f>
        <v/>
      </c>
      <c r="H10" s="68" t="str">
        <f>'Job Sheet'!W12</f>
        <v/>
      </c>
      <c r="I10" s="64" t="str">
        <f>'Job Sheet'!Y12</f>
        <v/>
      </c>
      <c r="J10" s="64" t="str">
        <f>'Job Sheet'!X12</f>
        <v/>
      </c>
      <c r="K10" s="64" t="str">
        <f>'Job Sheet'!Z12</f>
        <v/>
      </c>
      <c r="L10" s="64" t="str">
        <f>'Job Sheet'!AA12</f>
        <v/>
      </c>
      <c r="M10" s="64" t="str">
        <f>'Job Sheet'!AC12</f>
        <v/>
      </c>
    </row>
    <row r="11" spans="1:13" ht="60" customHeight="1">
      <c r="A11" s="68" t="str">
        <f>IF(Data!AW12="","",'Job Sheet'!A13)</f>
        <v/>
      </c>
      <c r="B11" s="68" t="str">
        <f>IF(Data!AW12="","",IF('Job Sheet'!T13="","",IF('Job Sheet'!T13="None","",'Job Sheet'!B13)))</f>
        <v/>
      </c>
      <c r="C11" s="68" t="str">
        <f>IF(Data!AW12="","",IF('Job Sheet'!T13="","",IF('Job Sheet'!T13="None","",'Job Sheet'!T13)))</f>
        <v/>
      </c>
      <c r="D11" s="68" t="str">
        <f>'Job Sheet'!V13</f>
        <v/>
      </c>
      <c r="E11" s="68" t="str">
        <f>IF(Data!AW12="","",IF('Job Sheet'!T13="","",IF('Job Sheet'!T13="None","",'Job Sheet'!L13)))</f>
        <v/>
      </c>
      <c r="F11" s="68" t="str">
        <f>IF(Data!AW12="","",IF('Job Sheet'!T13="","",IF('Job Sheet'!T13="None","",'Job Sheet'!M13)))</f>
        <v/>
      </c>
      <c r="G11" s="68" t="str">
        <f>'Job Sheet'!S13</f>
        <v/>
      </c>
      <c r="H11" s="68" t="str">
        <f>'Job Sheet'!W13</f>
        <v/>
      </c>
      <c r="I11" s="64" t="str">
        <f>'Job Sheet'!Y13</f>
        <v/>
      </c>
      <c r="J11" s="64" t="str">
        <f>'Job Sheet'!X13</f>
        <v/>
      </c>
      <c r="K11" s="64" t="str">
        <f>'Job Sheet'!Z13</f>
        <v/>
      </c>
      <c r="L11" s="64" t="str">
        <f>'Job Sheet'!AA13</f>
        <v/>
      </c>
      <c r="M11" s="64" t="str">
        <f>'Job Sheet'!AC13</f>
        <v/>
      </c>
    </row>
    <row r="12" spans="1:13" ht="60" customHeight="1">
      <c r="A12" s="68" t="str">
        <f>IF(Data!AW13="","",'Job Sheet'!A14)</f>
        <v/>
      </c>
      <c r="B12" s="68" t="str">
        <f>IF(Data!AW13="","",IF('Job Sheet'!T14="","",IF('Job Sheet'!T14="None","",'Job Sheet'!B14)))</f>
        <v/>
      </c>
      <c r="C12" s="68" t="str">
        <f>IF(Data!AW13="","",IF('Job Sheet'!T14="","",IF('Job Sheet'!T14="None","",'Job Sheet'!T14)))</f>
        <v/>
      </c>
      <c r="D12" s="68" t="str">
        <f>'Job Sheet'!V14</f>
        <v/>
      </c>
      <c r="E12" s="68" t="str">
        <f>IF(Data!AW13="","",IF('Job Sheet'!T14="","",IF('Job Sheet'!T14="None","",'Job Sheet'!L14)))</f>
        <v/>
      </c>
      <c r="F12" s="68" t="str">
        <f>IF(Data!AW13="","",IF('Job Sheet'!T14="","",IF('Job Sheet'!T14="None","",'Job Sheet'!M14)))</f>
        <v/>
      </c>
      <c r="G12" s="68" t="str">
        <f>'Job Sheet'!S14</f>
        <v/>
      </c>
      <c r="H12" s="68" t="str">
        <f>'Job Sheet'!W14</f>
        <v/>
      </c>
      <c r="I12" s="64" t="str">
        <f>'Job Sheet'!Y14</f>
        <v/>
      </c>
      <c r="J12" s="64" t="str">
        <f>'Job Sheet'!X14</f>
        <v/>
      </c>
      <c r="K12" s="64" t="str">
        <f>'Job Sheet'!Z14</f>
        <v/>
      </c>
      <c r="L12" s="64" t="str">
        <f>'Job Sheet'!AA14</f>
        <v/>
      </c>
      <c r="M12" s="64" t="str">
        <f>'Job Sheet'!AC14</f>
        <v/>
      </c>
    </row>
    <row r="13" spans="1:13" ht="60" customHeight="1">
      <c r="A13" s="68" t="str">
        <f>IF(Data!AW14="","",'Job Sheet'!A15)</f>
        <v/>
      </c>
      <c r="B13" s="68" t="str">
        <f>IF(Data!AW14="","",IF('Job Sheet'!T15="","",IF('Job Sheet'!T15="None","",'Job Sheet'!B15)))</f>
        <v/>
      </c>
      <c r="C13" s="68" t="str">
        <f>IF(Data!AW14="","",IF('Job Sheet'!T15="","",IF('Job Sheet'!T15="None","",'Job Sheet'!T15)))</f>
        <v/>
      </c>
      <c r="D13" s="68" t="str">
        <f>'Job Sheet'!V15</f>
        <v/>
      </c>
      <c r="E13" s="68" t="str">
        <f>IF(Data!AW14="","",IF('Job Sheet'!T15="","",IF('Job Sheet'!T15="None","",'Job Sheet'!L15)))</f>
        <v/>
      </c>
      <c r="F13" s="68" t="str">
        <f>IF(Data!AW14="","",IF('Job Sheet'!T15="","",IF('Job Sheet'!T15="None","",'Job Sheet'!M15)))</f>
        <v/>
      </c>
      <c r="G13" s="68" t="str">
        <f>'Job Sheet'!S15</f>
        <v/>
      </c>
      <c r="H13" s="68" t="str">
        <f>'Job Sheet'!W15</f>
        <v/>
      </c>
      <c r="I13" s="64" t="str">
        <f>'Job Sheet'!Y15</f>
        <v/>
      </c>
      <c r="J13" s="64" t="str">
        <f>'Job Sheet'!X15</f>
        <v/>
      </c>
      <c r="K13" s="64" t="str">
        <f>'Job Sheet'!Z15</f>
        <v/>
      </c>
      <c r="L13" s="64" t="str">
        <f>'Job Sheet'!AA15</f>
        <v/>
      </c>
      <c r="M13" s="64" t="str">
        <f>'Job Sheet'!AC15</f>
        <v/>
      </c>
    </row>
    <row r="14" spans="1:13" ht="60" customHeight="1">
      <c r="A14" s="68" t="str">
        <f>IF(Data!AW15="","",'Job Sheet'!A16)</f>
        <v/>
      </c>
      <c r="B14" s="68" t="str">
        <f>IF(Data!AW15="","",IF('Job Sheet'!T16="","",IF('Job Sheet'!T16="None","",'Job Sheet'!B16)))</f>
        <v/>
      </c>
      <c r="C14" s="68" t="str">
        <f>IF(Data!AW15="","",IF('Job Sheet'!T16="","",IF('Job Sheet'!T16="None","",'Job Sheet'!T16)))</f>
        <v/>
      </c>
      <c r="D14" s="68" t="str">
        <f>'Job Sheet'!V16</f>
        <v/>
      </c>
      <c r="E14" s="68" t="str">
        <f>IF(Data!AW15="","",IF('Job Sheet'!T16="","",IF('Job Sheet'!T16="None","",'Job Sheet'!L16)))</f>
        <v/>
      </c>
      <c r="F14" s="68" t="str">
        <f>IF(Data!AW15="","",IF('Job Sheet'!T16="","",IF('Job Sheet'!T16="None","",'Job Sheet'!M16)))</f>
        <v/>
      </c>
      <c r="G14" s="68" t="str">
        <f>'Job Sheet'!S16</f>
        <v/>
      </c>
      <c r="H14" s="68" t="str">
        <f>'Job Sheet'!W16</f>
        <v/>
      </c>
      <c r="I14" s="64" t="str">
        <f>'Job Sheet'!Y16</f>
        <v/>
      </c>
      <c r="J14" s="64" t="str">
        <f>'Job Sheet'!X16</f>
        <v/>
      </c>
      <c r="K14" s="64" t="str">
        <f>'Job Sheet'!Z16</f>
        <v/>
      </c>
      <c r="L14" s="64" t="str">
        <f>'Job Sheet'!AA16</f>
        <v/>
      </c>
      <c r="M14" s="64" t="str">
        <f>'Job Sheet'!AC16</f>
        <v/>
      </c>
    </row>
    <row r="15" spans="1:13" ht="60" customHeight="1">
      <c r="A15" s="68" t="str">
        <f>IF(Data!AW16="","",'Job Sheet'!A17)</f>
        <v/>
      </c>
      <c r="B15" s="68" t="str">
        <f>IF(Data!AW16="","",IF('Job Sheet'!T17="","",IF('Job Sheet'!T17="None","",'Job Sheet'!B17)))</f>
        <v/>
      </c>
      <c r="C15" s="68" t="str">
        <f>IF(Data!AW16="","",IF('Job Sheet'!T17="","",IF('Job Sheet'!T17="None","",'Job Sheet'!T17)))</f>
        <v/>
      </c>
      <c r="D15" s="68" t="str">
        <f>'Job Sheet'!V17</f>
        <v/>
      </c>
      <c r="E15" s="68" t="str">
        <f>IF(Data!AW16="","",IF('Job Sheet'!T17="","",IF('Job Sheet'!T17="None","",'Job Sheet'!L17)))</f>
        <v/>
      </c>
      <c r="F15" s="68" t="str">
        <f>IF(Data!AW16="","",IF('Job Sheet'!T17="","",IF('Job Sheet'!T17="None","",'Job Sheet'!M17)))</f>
        <v/>
      </c>
      <c r="G15" s="68" t="str">
        <f>'Job Sheet'!S17</f>
        <v/>
      </c>
      <c r="H15" s="68" t="str">
        <f>'Job Sheet'!W17</f>
        <v/>
      </c>
      <c r="I15" s="64" t="str">
        <f>'Job Sheet'!Y17</f>
        <v/>
      </c>
      <c r="J15" s="64" t="str">
        <f>'Job Sheet'!X17</f>
        <v/>
      </c>
      <c r="K15" s="64" t="str">
        <f>'Job Sheet'!Z17</f>
        <v/>
      </c>
      <c r="L15" s="64" t="str">
        <f>'Job Sheet'!AA17</f>
        <v/>
      </c>
      <c r="M15" s="64" t="str">
        <f>'Job Sheet'!AC17</f>
        <v/>
      </c>
    </row>
    <row r="16" spans="1:13" ht="60" customHeight="1">
      <c r="A16" s="68" t="str">
        <f>IF(Data!AW17="","",'Job Sheet'!A18)</f>
        <v/>
      </c>
      <c r="B16" s="68" t="str">
        <f>IF(Data!AW17="","",IF('Job Sheet'!T18="","",IF('Job Sheet'!T18="None","",'Job Sheet'!B18)))</f>
        <v/>
      </c>
      <c r="C16" s="68" t="str">
        <f>IF(Data!AW17="","",IF('Job Sheet'!T18="","",IF('Job Sheet'!T18="None","",'Job Sheet'!T18)))</f>
        <v/>
      </c>
      <c r="D16" s="68" t="str">
        <f>'Job Sheet'!V18</f>
        <v/>
      </c>
      <c r="E16" s="68" t="str">
        <f>IF(Data!AW17="","",IF('Job Sheet'!T18="","",IF('Job Sheet'!T18="None","",'Job Sheet'!L18)))</f>
        <v/>
      </c>
      <c r="F16" s="68" t="str">
        <f>IF(Data!AW17="","",IF('Job Sheet'!T18="","",IF('Job Sheet'!T18="None","",'Job Sheet'!M18)))</f>
        <v/>
      </c>
      <c r="G16" s="68" t="str">
        <f>'Job Sheet'!S18</f>
        <v/>
      </c>
      <c r="H16" s="68" t="str">
        <f>'Job Sheet'!W18</f>
        <v/>
      </c>
      <c r="I16" s="64" t="str">
        <f>'Job Sheet'!Y18</f>
        <v/>
      </c>
      <c r="J16" s="64" t="str">
        <f>'Job Sheet'!X18</f>
        <v/>
      </c>
      <c r="K16" s="64" t="str">
        <f>'Job Sheet'!Z18</f>
        <v/>
      </c>
      <c r="L16" s="64" t="str">
        <f>'Job Sheet'!AA18</f>
        <v/>
      </c>
      <c r="M16" s="64" t="str">
        <f>'Job Sheet'!AC18</f>
        <v/>
      </c>
    </row>
    <row r="17" spans="1:13" ht="60" customHeight="1">
      <c r="A17" s="68" t="str">
        <f>IF(Data!AW18="","",'Job Sheet'!A19)</f>
        <v/>
      </c>
      <c r="B17" s="68" t="str">
        <f>IF(Data!AW18="","",IF('Job Sheet'!T19="","",IF('Job Sheet'!T19="None","",'Job Sheet'!B19)))</f>
        <v/>
      </c>
      <c r="C17" s="68" t="str">
        <f>IF(Data!AW18="","",IF('Job Sheet'!T19="","",IF('Job Sheet'!T19="None","",'Job Sheet'!T19)))</f>
        <v/>
      </c>
      <c r="D17" s="68" t="str">
        <f>'Job Sheet'!V19</f>
        <v/>
      </c>
      <c r="E17" s="68" t="str">
        <f>IF(Data!AW18="","",IF('Job Sheet'!T19="","",IF('Job Sheet'!T19="None","",'Job Sheet'!L19)))</f>
        <v/>
      </c>
      <c r="F17" s="68" t="str">
        <f>IF(Data!AW18="","",IF('Job Sheet'!T19="","",IF('Job Sheet'!T19="None","",'Job Sheet'!M19)))</f>
        <v/>
      </c>
      <c r="G17" s="68" t="str">
        <f>'Job Sheet'!S19</f>
        <v/>
      </c>
      <c r="H17" s="68" t="str">
        <f>'Job Sheet'!W19</f>
        <v/>
      </c>
      <c r="I17" s="64" t="str">
        <f>'Job Sheet'!Y19</f>
        <v/>
      </c>
      <c r="J17" s="64" t="str">
        <f>'Job Sheet'!X19</f>
        <v/>
      </c>
      <c r="K17" s="64" t="str">
        <f>'Job Sheet'!Z19</f>
        <v/>
      </c>
      <c r="L17" s="64" t="str">
        <f>'Job Sheet'!AA19</f>
        <v/>
      </c>
      <c r="M17" s="64" t="str">
        <f>'Job Sheet'!AC19</f>
        <v/>
      </c>
    </row>
    <row r="18" spans="1:13" ht="60" customHeight="1">
      <c r="A18" s="68" t="str">
        <f>IF(Data!AW19="","",'Job Sheet'!A20)</f>
        <v/>
      </c>
      <c r="B18" s="68" t="str">
        <f>IF(Data!AW19="","",IF('Job Sheet'!T20="","",IF('Job Sheet'!T20="None","",'Job Sheet'!B20)))</f>
        <v/>
      </c>
      <c r="C18" s="68" t="str">
        <f>IF(Data!AW19="","",IF('Job Sheet'!T20="","",IF('Job Sheet'!T20="None","",'Job Sheet'!T20)))</f>
        <v/>
      </c>
      <c r="D18" s="68" t="str">
        <f>'Job Sheet'!V20</f>
        <v/>
      </c>
      <c r="E18" s="68" t="str">
        <f>IF(Data!AW19="","",IF('Job Sheet'!T20="","",IF('Job Sheet'!T20="None","",'Job Sheet'!L20)))</f>
        <v/>
      </c>
      <c r="F18" s="68" t="str">
        <f>IF(Data!AW19="","",IF('Job Sheet'!T20="","",IF('Job Sheet'!T20="None","",'Job Sheet'!M20)))</f>
        <v/>
      </c>
      <c r="G18" s="68" t="str">
        <f>'Job Sheet'!S20</f>
        <v/>
      </c>
      <c r="H18" s="68" t="str">
        <f>'Job Sheet'!W20</f>
        <v/>
      </c>
      <c r="I18" s="64" t="str">
        <f>'Job Sheet'!Y20</f>
        <v/>
      </c>
      <c r="J18" s="64" t="str">
        <f>'Job Sheet'!X20</f>
        <v/>
      </c>
      <c r="K18" s="64" t="str">
        <f>'Job Sheet'!Z20</f>
        <v/>
      </c>
      <c r="L18" s="64" t="str">
        <f>'Job Sheet'!AA20</f>
        <v/>
      </c>
      <c r="M18" s="64" t="str">
        <f>'Job Sheet'!AC20</f>
        <v/>
      </c>
    </row>
    <row r="19" spans="1:13" ht="60" customHeight="1">
      <c r="A19" s="68" t="str">
        <f>IF(Data!AW20="","",'Job Sheet'!A21)</f>
        <v/>
      </c>
      <c r="B19" s="68" t="str">
        <f>IF(Data!AW20="","",IF('Job Sheet'!T21="","",IF('Job Sheet'!T21="None","",'Job Sheet'!B21)))</f>
        <v/>
      </c>
      <c r="C19" s="68" t="str">
        <f>IF(Data!AW20="","",IF('Job Sheet'!T21="","",IF('Job Sheet'!T21="None","",'Job Sheet'!T21)))</f>
        <v/>
      </c>
      <c r="D19" s="68" t="str">
        <f>'Job Sheet'!V21</f>
        <v/>
      </c>
      <c r="E19" s="68" t="str">
        <f>IF(Data!AW20="","",IF('Job Sheet'!T21="","",IF('Job Sheet'!T21="None","",'Job Sheet'!L21)))</f>
        <v/>
      </c>
      <c r="F19" s="68" t="str">
        <f>IF(Data!AW20="","",IF('Job Sheet'!T21="","",IF('Job Sheet'!T21="None","",'Job Sheet'!M21)))</f>
        <v/>
      </c>
      <c r="G19" s="68" t="str">
        <f>'Job Sheet'!S21</f>
        <v/>
      </c>
      <c r="H19" s="68" t="str">
        <f>'Job Sheet'!W21</f>
        <v/>
      </c>
      <c r="I19" s="64" t="str">
        <f>'Job Sheet'!Y21</f>
        <v/>
      </c>
      <c r="J19" s="64" t="str">
        <f>'Job Sheet'!X21</f>
        <v/>
      </c>
      <c r="K19" s="64" t="str">
        <f>'Job Sheet'!Z21</f>
        <v/>
      </c>
      <c r="L19" s="64" t="str">
        <f>'Job Sheet'!AA21</f>
        <v/>
      </c>
      <c r="M19" s="64" t="str">
        <f>'Job Sheet'!AC21</f>
        <v/>
      </c>
    </row>
    <row r="20" spans="1:13" ht="60" customHeight="1"/>
    <row r="21" spans="1:13" ht="60" customHeight="1"/>
    <row r="22" spans="1:13" ht="60" customHeight="1"/>
    <row r="23" spans="1:13" ht="60" customHeight="1"/>
    <row r="24" spans="1:13" ht="60" customHeight="1"/>
    <row r="25" spans="1:13" ht="60" customHeight="1"/>
    <row r="26" spans="1:13" ht="60" customHeight="1"/>
    <row r="27" spans="1:13" ht="60" customHeight="1"/>
    <row r="28" spans="1:13" ht="60" customHeight="1"/>
    <row r="29" spans="1:13" ht="60" customHeight="1"/>
    <row r="30" spans="1:13" ht="60" customHeight="1"/>
    <row r="31" spans="1:13" ht="60" customHeight="1"/>
    <row r="32" spans="1:13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</sheetData>
  <mergeCells count="29">
    <mergeCell ref="A2:M2"/>
    <mergeCell ref="A3:M3"/>
    <mergeCell ref="L5:M6"/>
    <mergeCell ref="A4:B4"/>
    <mergeCell ref="C4:D4"/>
    <mergeCell ref="E4:F4"/>
    <mergeCell ref="G4:K4"/>
    <mergeCell ref="L4:M4"/>
    <mergeCell ref="A5:B5"/>
    <mergeCell ref="C5:D5"/>
    <mergeCell ref="E5:F5"/>
    <mergeCell ref="G5:K5"/>
    <mergeCell ref="A6:B6"/>
    <mergeCell ref="C6:D6"/>
    <mergeCell ref="E6:F6"/>
    <mergeCell ref="G6:K6"/>
    <mergeCell ref="M7:M9"/>
    <mergeCell ref="A7:A9"/>
    <mergeCell ref="B7:B9"/>
    <mergeCell ref="C7:C9"/>
    <mergeCell ref="D7:D9"/>
    <mergeCell ref="E7:E9"/>
    <mergeCell ref="F7:F9"/>
    <mergeCell ref="G7:G9"/>
    <mergeCell ref="H7:H9"/>
    <mergeCell ref="I7:I9"/>
    <mergeCell ref="J7:J9"/>
    <mergeCell ref="L7:L9"/>
    <mergeCell ref="K7:K9"/>
  </mergeCells>
  <pageMargins left="0.73543307086614396" right="0.73543307086614396" top="0.75" bottom="0.75" header="0.3" footer="0.3"/>
  <pageSetup paperSize="9" scale="1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D64BA-F61A-40E7-A62E-444745A657A8}">
  <sheetPr codeName="Sheet2"/>
  <dimension ref="A1:ER12"/>
  <sheetViews>
    <sheetView topLeftCell="H1" workbookViewId="0">
      <selection activeCell="AT3" sqref="AT3"/>
    </sheetView>
  </sheetViews>
  <sheetFormatPr defaultColWidth="9.109375" defaultRowHeight="13.2"/>
  <cols>
    <col min="4" max="4" width="7.5546875" style="21" customWidth="1"/>
    <col min="5" max="5" width="5.33203125" style="21" customWidth="1"/>
    <col min="6" max="6" width="7.5546875" style="21" customWidth="1"/>
    <col min="7" max="7" width="21" style="21" customWidth="1"/>
    <col min="8" max="8" width="28.109375" style="21" bestFit="1" customWidth="1"/>
    <col min="9" max="9" width="27.44140625" style="21" customWidth="1"/>
    <col min="10" max="10" width="5.44140625" style="79" customWidth="1"/>
    <col min="11" max="11" width="5.88671875" style="21" customWidth="1"/>
    <col min="12" max="12" width="5.44140625" style="21" customWidth="1"/>
    <col min="13" max="13" width="5.44140625" style="79" customWidth="1"/>
    <col min="14" max="14" width="4.109375" style="21" customWidth="1"/>
    <col min="15" max="15" width="4.109375" style="80" customWidth="1"/>
    <col min="16" max="16" width="4.109375" style="21" customWidth="1"/>
    <col min="17" max="18" width="4.109375" style="79" customWidth="1"/>
    <col min="19" max="19" width="5.33203125" style="79" customWidth="1"/>
    <col min="20" max="75" width="4.109375" style="21" customWidth="1"/>
    <col min="76" max="76" width="7.5546875" style="21" customWidth="1"/>
    <col min="77" max="89" width="4.109375" style="21" customWidth="1"/>
  </cols>
  <sheetData>
    <row r="1" spans="1:148" ht="8.25" customHeight="1"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</row>
    <row r="2" spans="1:148" ht="173.25" customHeight="1">
      <c r="A2" s="118" t="s">
        <v>296</v>
      </c>
      <c r="B2" s="118" t="s">
        <v>297</v>
      </c>
      <c r="C2" s="118" t="s">
        <v>298</v>
      </c>
      <c r="D2" s="81" t="s">
        <v>249</v>
      </c>
      <c r="E2" s="81" t="s">
        <v>250</v>
      </c>
      <c r="F2" s="81" t="s">
        <v>251</v>
      </c>
      <c r="G2" s="82" t="s">
        <v>252</v>
      </c>
      <c r="H2" s="82" t="s">
        <v>253</v>
      </c>
      <c r="I2" s="82" t="s">
        <v>239</v>
      </c>
      <c r="J2" s="82" t="s">
        <v>284</v>
      </c>
      <c r="K2" s="82" t="s">
        <v>285</v>
      </c>
      <c r="L2" s="82" t="s">
        <v>141</v>
      </c>
      <c r="M2" s="82" t="s">
        <v>283</v>
      </c>
      <c r="N2" s="83" t="s">
        <v>255</v>
      </c>
      <c r="O2" s="83" t="s">
        <v>257</v>
      </c>
      <c r="P2" s="83" t="s">
        <v>259</v>
      </c>
      <c r="Q2" s="83" t="s">
        <v>256</v>
      </c>
      <c r="R2" s="83" t="s">
        <v>260</v>
      </c>
      <c r="S2" s="83" t="s">
        <v>258</v>
      </c>
      <c r="T2" s="83" t="s">
        <v>261</v>
      </c>
      <c r="U2" s="83" t="s">
        <v>262</v>
      </c>
      <c r="V2" s="83" t="s">
        <v>263</v>
      </c>
      <c r="W2" s="83" t="s">
        <v>264</v>
      </c>
      <c r="X2" s="83" t="s">
        <v>265</v>
      </c>
      <c r="Y2" s="83" t="s">
        <v>266</v>
      </c>
      <c r="Z2" s="83" t="s">
        <v>287</v>
      </c>
      <c r="AA2" s="83" t="s">
        <v>2130</v>
      </c>
      <c r="AB2" s="83" t="s">
        <v>267</v>
      </c>
      <c r="AC2" s="83" t="s">
        <v>268</v>
      </c>
      <c r="AD2" s="83" t="s">
        <v>269</v>
      </c>
      <c r="AE2" s="83" t="s">
        <v>270</v>
      </c>
      <c r="AF2" s="83" t="s">
        <v>271</v>
      </c>
      <c r="AG2" s="83" t="s">
        <v>272</v>
      </c>
      <c r="AH2" s="83" t="s">
        <v>278</v>
      </c>
      <c r="AI2" s="83" t="s">
        <v>279</v>
      </c>
      <c r="AJ2" s="83" t="s">
        <v>280</v>
      </c>
      <c r="AK2" s="83" t="s">
        <v>275</v>
      </c>
      <c r="AL2" s="83" t="s">
        <v>276</v>
      </c>
      <c r="AM2" s="83" t="s">
        <v>277</v>
      </c>
      <c r="AN2" s="83" t="s">
        <v>286</v>
      </c>
      <c r="AO2" s="83" t="s">
        <v>2131</v>
      </c>
      <c r="AP2" s="83" t="s">
        <v>273</v>
      </c>
      <c r="AQ2" s="83" t="s">
        <v>274</v>
      </c>
      <c r="AR2" s="81" t="s">
        <v>281</v>
      </c>
      <c r="AS2" s="81" t="s">
        <v>282</v>
      </c>
      <c r="AT2" s="81" t="s">
        <v>178</v>
      </c>
      <c r="AU2" s="81" t="s">
        <v>288</v>
      </c>
      <c r="AV2" s="81" t="s">
        <v>289</v>
      </c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81"/>
      <c r="BP2" s="81"/>
      <c r="BQ2" s="81"/>
      <c r="BR2" s="81"/>
      <c r="BS2" s="81"/>
      <c r="BT2" s="81"/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81"/>
      <c r="CO2" s="81"/>
      <c r="CP2" s="81"/>
      <c r="CQ2" s="81"/>
      <c r="CR2" s="81"/>
      <c r="CS2" s="81"/>
      <c r="CT2" s="81"/>
      <c r="CU2" s="81"/>
      <c r="CV2" s="81"/>
      <c r="CW2" s="81"/>
      <c r="CX2" s="81"/>
      <c r="CY2" s="81"/>
      <c r="CZ2" s="81"/>
      <c r="DA2" s="81"/>
      <c r="DB2" s="81"/>
      <c r="DC2" s="81"/>
      <c r="DD2" s="81"/>
      <c r="DE2" s="81"/>
      <c r="DF2" s="81"/>
      <c r="DG2" s="81"/>
      <c r="DH2" s="81"/>
      <c r="DI2" s="81"/>
      <c r="DJ2" s="81"/>
      <c r="DK2" s="81"/>
      <c r="DL2" s="81"/>
      <c r="DM2" s="81"/>
      <c r="DN2" s="81"/>
      <c r="DO2" s="81"/>
      <c r="DP2" s="81"/>
      <c r="DQ2" s="81"/>
      <c r="DR2" s="81"/>
      <c r="DS2" s="81"/>
      <c r="DT2" s="81"/>
      <c r="DU2" s="81"/>
      <c r="DV2" s="81"/>
      <c r="DW2" s="81"/>
      <c r="DX2" s="81"/>
      <c r="DY2" s="81"/>
      <c r="DZ2" s="81"/>
      <c r="EA2" s="81"/>
      <c r="EB2" s="81"/>
      <c r="EC2" s="81"/>
      <c r="ED2" s="81"/>
      <c r="EE2" s="81"/>
      <c r="EF2" s="81"/>
      <c r="EG2" s="81"/>
      <c r="EH2" s="81"/>
      <c r="EI2" s="81"/>
      <c r="EJ2" s="81"/>
      <c r="EK2" s="81"/>
      <c r="EL2" s="81"/>
      <c r="EM2" s="81"/>
      <c r="EN2" s="81"/>
      <c r="EO2" s="81"/>
      <c r="EP2" s="81"/>
      <c r="EQ2" s="81"/>
      <c r="ER2" s="81"/>
    </row>
    <row r="3" spans="1:148" ht="13.2" customHeight="1">
      <c r="D3" s="21" t="str">
        <f>IF('Tube Cutting'!C12="","",CONCATENATE(Data!BC$5,".",Data!BD$5))</f>
        <v/>
      </c>
      <c r="E3" s="21" t="str">
        <f>IF(D3="","",Data!AW11)</f>
        <v/>
      </c>
      <c r="F3" s="21" t="str">
        <f>IF(D3="","",Data!AV11)</f>
        <v/>
      </c>
      <c r="G3" s="21" t="str">
        <f>IF(D3="","",Data!BF$5)</f>
        <v/>
      </c>
      <c r="H3" s="21" t="str">
        <f>IF(D3="","",Data!AX$5)</f>
        <v/>
      </c>
      <c r="I3" s="21" t="str">
        <f>'Job Sheet'!L12</f>
        <v/>
      </c>
      <c r="J3" s="111" t="str">
        <f>IF(D3="","",K3*L3*M3/1000000)</f>
        <v/>
      </c>
      <c r="K3" s="108" t="str">
        <f>'Job Sheet'!N12</f>
        <v/>
      </c>
      <c r="L3" s="112" t="str">
        <f>'Fabric Cutting'!G11</f>
        <v/>
      </c>
      <c r="M3" s="112" t="str">
        <f>'Fabric Cutting'!H11</f>
        <v/>
      </c>
      <c r="N3" s="112" t="str">
        <f>IF(AND('Tube Cutting'!D12="4 Channel",'Tube Cutting'!E12="Anodised Silver"),'Tube Cutting'!C12,"")</f>
        <v/>
      </c>
      <c r="O3" s="108" t="str">
        <f>IF(AND('Tube Cutting'!D12="4 Channel",'Tube Cutting'!E12="White"),'Tube Cutting'!C12,"")</f>
        <v/>
      </c>
      <c r="P3" s="112" t="str">
        <f>IF(AND('Tube Cutting'!D12="4 Channel",'Tube Cutting'!E12="Black"),'Tube Cutting'!C12,"")</f>
        <v/>
      </c>
      <c r="Q3" s="112" t="str">
        <f>IF(AND('Tube Cutting'!D12="5 Channel",'Tube Cutting'!E12="Anodised Silver"),'Tube Cutting'!C12,"")</f>
        <v/>
      </c>
      <c r="R3" s="112" t="str">
        <f>IF(AND('Tube Cutting'!D12="5 Channel",'Tube Cutting'!E12="White"),'Tube Cutting'!C12,"")</f>
        <v/>
      </c>
      <c r="S3" s="112" t="str">
        <f>IF(AND('Tube Cutting'!D12="5 Channel",'Tube Cutting'!E12="Black"),'Tube Cutting'!C12,"")</f>
        <v/>
      </c>
      <c r="T3" s="112" t="str">
        <f>IF('Tube Cutting'!E12="Anodised Silver",'Tube Cutting'!F12*'Tube Cutting'!G12,"")</f>
        <v/>
      </c>
      <c r="U3" s="112" t="str">
        <f>IF('Tube Cutting'!E12="White",'Tube Cutting'!F12*'Tube Cutting'!G12,"")</f>
        <v/>
      </c>
      <c r="V3" s="112" t="str">
        <f>IF('Tube Cutting'!E12="Black",'Tube Cutting'!F12*'Tube Cutting'!G12,"")</f>
        <v/>
      </c>
      <c r="W3" s="108" t="str">
        <f>IF('Tube Cutting'!K12="Anodised Silver",'Tube Cutting'!I12*'Tube Cutting'!F12,"")</f>
        <v/>
      </c>
      <c r="X3" s="108" t="str">
        <f>IF('Tube Cutting'!K12="White",'Tube Cutting'!I12*'Tube Cutting'!F12,"")</f>
        <v/>
      </c>
      <c r="Y3" s="108" t="str">
        <f>IF('Tube Cutting'!K12="Black",'Tube Cutting'!I12*'Tube Cutting'!F12,"")</f>
        <v/>
      </c>
      <c r="Z3" s="108" t="str">
        <f>IF('Tube Cutting'!K12="Cream",'Tube Cutting'!J12*'Tube Cutting'!G12,"")</f>
        <v/>
      </c>
      <c r="AA3" s="108" t="str">
        <f>IF('Tube Cutting'!K12="Bone",'Tube Cutting'!J12*'Tube Cutting'!G12,"")</f>
        <v/>
      </c>
      <c r="AB3" s="108" t="str">
        <f>IF(AND('Tube Cutting'!D12="4 Channel",'Tube Cutting'!E12="Anodised Silver"),2,"")</f>
        <v/>
      </c>
      <c r="AC3" s="108" t="str">
        <f>IF(AND('Tube Cutting'!D12="4 Channel",'Tube Cutting'!E12="White"),2,"")</f>
        <v/>
      </c>
      <c r="AD3" s="108" t="str">
        <f>IF(AND('Tube Cutting'!D12="4 Channel",'Tube Cutting'!E12="Black"),2,"")</f>
        <v/>
      </c>
      <c r="AE3" s="108" t="str">
        <f>IF(AND('Tube Cutting'!D12="5 Channel",'Tube Cutting'!E12="Anodised Silver"),2,"")</f>
        <v/>
      </c>
      <c r="AF3" s="108" t="str">
        <f>IF(AND('Tube Cutting'!D12="5 Channel",'Tube Cutting'!E12="White"),2,"")</f>
        <v/>
      </c>
      <c r="AG3" s="108" t="str">
        <f>IF(AND('Tube Cutting'!D12="5 Channel",'Tube Cutting'!E12="Black"),2,"")</f>
        <v/>
      </c>
      <c r="AH3" s="108" t="str">
        <f>IF('Tube Cutting'!E12="Anodised Silver",K3*2,"")</f>
        <v/>
      </c>
      <c r="AI3" s="108" t="str">
        <f>IF('Tube Cutting'!E12="White",K3*2,"")</f>
        <v/>
      </c>
      <c r="AJ3" s="108" t="str">
        <f>IF('Tube Cutting'!E12="Black",K3*2,"")</f>
        <v/>
      </c>
      <c r="AK3" s="108" t="str">
        <f>IF('Tube Cutting'!K12="Anodised Silver",K3*2,"")</f>
        <v/>
      </c>
      <c r="AL3" s="108" t="str">
        <f>IF('Tube Cutting'!K12="White",K3*2,"")</f>
        <v/>
      </c>
      <c r="AM3" s="108" t="str">
        <f>IF('Tube Cutting'!K12="Black",K3*2,"")</f>
        <v/>
      </c>
      <c r="AN3" s="108" t="str">
        <f>IF('Tube Cutting'!K12="Cream",K3*2,"")</f>
        <v/>
      </c>
      <c r="AO3" s="108" t="str">
        <f>IF('Tube Cutting'!K12="Bone",K3*2,"")</f>
        <v/>
      </c>
      <c r="AP3" s="108" t="str">
        <f>IF(D3="","",VLOOKUP('Job Sheet'!O12,RollerCar,2,FALSE))</f>
        <v/>
      </c>
      <c r="AQ3" s="108" t="str">
        <f>IF(D3="","",VLOOKUP('Job Sheet'!O12,RollerCar,3,FALSE))</f>
        <v/>
      </c>
      <c r="AR3" s="108" t="str">
        <f>IF(D3="","",VLOOKUP('Job Sheet'!O12,RollerCar,4,FALSE))</f>
        <v/>
      </c>
      <c r="AS3" s="108" t="str">
        <f>Bagging!F11</f>
        <v/>
      </c>
      <c r="AT3" s="112" t="str">
        <f>Bagging!E11</f>
        <v/>
      </c>
      <c r="AU3" s="108" t="str">
        <f>IF(D3="","",'Tube Cutting'!F12*'Tube Cutting'!G12)</f>
        <v/>
      </c>
      <c r="AV3" s="108" t="str">
        <f>IF(D3="","",'Tube Cutting'!I12*'Tube Cutting'!F12)</f>
        <v/>
      </c>
      <c r="AW3" s="79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</row>
    <row r="4" spans="1:148" ht="13.2" customHeight="1">
      <c r="D4" s="21" t="str">
        <f>IF('Tube Cutting'!C13="","",CONCATENATE(Data!BC$5,".",Data!BD$5))</f>
        <v/>
      </c>
      <c r="E4" s="21" t="str">
        <f>IF(D4="","",Data!AW12)</f>
        <v/>
      </c>
      <c r="F4" s="21" t="str">
        <f>IF(D4="","",Data!AV12)</f>
        <v/>
      </c>
      <c r="G4" s="21" t="str">
        <f>IF(D4="","",Data!BF$5)</f>
        <v/>
      </c>
      <c r="H4" s="21" t="str">
        <f>IF(D4="","",Data!AX$5)</f>
        <v/>
      </c>
      <c r="I4" s="21" t="str">
        <f>'Job Sheet'!L13</f>
        <v/>
      </c>
      <c r="J4" s="111" t="str">
        <f t="shared" ref="J4:J12" si="0">IF(D4="","",K4*L4*M4/1000000)</f>
        <v/>
      </c>
      <c r="K4" s="108" t="str">
        <f>'Job Sheet'!N13</f>
        <v/>
      </c>
      <c r="L4" s="112" t="str">
        <f>'Fabric Cutting'!G12</f>
        <v/>
      </c>
      <c r="M4" s="112" t="str">
        <f>'Fabric Cutting'!H12</f>
        <v/>
      </c>
      <c r="N4" s="112" t="str">
        <f>IF(AND('Tube Cutting'!D13="4 Channel",'Tube Cutting'!E13="Anodised Silver"),'Tube Cutting'!C13,"")</f>
        <v/>
      </c>
      <c r="O4" s="108" t="str">
        <f>IF(AND('Tube Cutting'!D13="4 Channel",'Tube Cutting'!E13="White"),'Tube Cutting'!C13,"")</f>
        <v/>
      </c>
      <c r="P4" s="112" t="str">
        <f>IF(AND('Tube Cutting'!D13="4 Channel",'Tube Cutting'!E13="Black"),'Tube Cutting'!C13,"")</f>
        <v/>
      </c>
      <c r="Q4" s="112" t="str">
        <f>IF(AND('Tube Cutting'!D13="5 Channel",'Tube Cutting'!E13="Anodised Silver"),'Tube Cutting'!C13,"")</f>
        <v/>
      </c>
      <c r="R4" s="112" t="str">
        <f>IF(AND('Tube Cutting'!D13="5 Channel",'Tube Cutting'!E13="White"),'Tube Cutting'!C13,"")</f>
        <v/>
      </c>
      <c r="S4" s="112" t="str">
        <f>IF(AND('Tube Cutting'!D13="5 Channel",'Tube Cutting'!E13="Black"),'Tube Cutting'!C13,"")</f>
        <v/>
      </c>
      <c r="T4" s="112" t="str">
        <f>IF('Tube Cutting'!E13="Anodised Silver",'Tube Cutting'!F13*'Tube Cutting'!G13,"")</f>
        <v/>
      </c>
      <c r="U4" s="112" t="str">
        <f>IF('Tube Cutting'!E13="White",'Tube Cutting'!F13*'Tube Cutting'!G13,"")</f>
        <v/>
      </c>
      <c r="V4" s="112" t="str">
        <f>IF('Tube Cutting'!E13="Black",'Tube Cutting'!F13*'Tube Cutting'!G13,"")</f>
        <v/>
      </c>
      <c r="W4" s="108" t="str">
        <f>IF('Tube Cutting'!K13="Anodised Silver",'Tube Cutting'!I13*'Tube Cutting'!F13,"")</f>
        <v/>
      </c>
      <c r="X4" s="108" t="str">
        <f>IF('Tube Cutting'!K13="White",'Tube Cutting'!I13*'Tube Cutting'!F13,"")</f>
        <v/>
      </c>
      <c r="Y4" s="108" t="str">
        <f>IF('Tube Cutting'!K13="Black",'Tube Cutting'!I13*'Tube Cutting'!F13,"")</f>
        <v/>
      </c>
      <c r="Z4" s="108" t="str">
        <f>IF('Tube Cutting'!K13="Cream",'Tube Cutting'!J13*'Tube Cutting'!G13,"")</f>
        <v/>
      </c>
      <c r="AA4" s="108" t="str">
        <f>IF('Tube Cutting'!K13="Bone",'Tube Cutting'!J13*'Tube Cutting'!G13,"")</f>
        <v/>
      </c>
      <c r="AB4" s="108" t="str">
        <f>IF(AND('Tube Cutting'!D13="4 Channel",'Tube Cutting'!E13="Anodised Silver"),2,"")</f>
        <v/>
      </c>
      <c r="AC4" s="108" t="str">
        <f>IF(AND('Tube Cutting'!D13="4 Channel",'Tube Cutting'!E13="White"),2,"")</f>
        <v/>
      </c>
      <c r="AD4" s="108" t="str">
        <f>IF(AND('Tube Cutting'!D13="4 Channel",'Tube Cutting'!E13="Black"),2,"")</f>
        <v/>
      </c>
      <c r="AE4" s="108" t="str">
        <f>IF(AND('Tube Cutting'!D13="5 Channel",'Tube Cutting'!E13="Anodised Silver"),2,"")</f>
        <v/>
      </c>
      <c r="AF4" s="108" t="str">
        <f>IF(AND('Tube Cutting'!D13="5 Channel",'Tube Cutting'!E13="White"),2,"")</f>
        <v/>
      </c>
      <c r="AG4" s="108" t="str">
        <f>IF(AND('Tube Cutting'!D13="5 Channel",'Tube Cutting'!E13="Black"),2,"")</f>
        <v/>
      </c>
      <c r="AH4" s="108" t="str">
        <f>IF('Tube Cutting'!E13="Anodised Silver",K4*2,"")</f>
        <v/>
      </c>
      <c r="AI4" s="108" t="str">
        <f>IF('Tube Cutting'!E13="White",K4*2,"")</f>
        <v/>
      </c>
      <c r="AJ4" s="108" t="str">
        <f>IF('Tube Cutting'!E13="Black",K4*2,"")</f>
        <v/>
      </c>
      <c r="AK4" s="108" t="str">
        <f>IF('Tube Cutting'!K13="Anodised Silver",K4*2,"")</f>
        <v/>
      </c>
      <c r="AL4" s="108" t="str">
        <f>IF('Tube Cutting'!K13="White",K4*2,"")</f>
        <v/>
      </c>
      <c r="AM4" s="108" t="str">
        <f>IF('Tube Cutting'!K13="Black",K4*2,"")</f>
        <v/>
      </c>
      <c r="AN4" s="108" t="str">
        <f>IF('Tube Cutting'!K13="Cream",K4*2,"")</f>
        <v/>
      </c>
      <c r="AO4" s="108" t="str">
        <f>IF('Tube Cutting'!K13="Bone",K4*2,"")</f>
        <v/>
      </c>
      <c r="AP4" s="108" t="str">
        <f>IF(D4="","",VLOOKUP('Job Sheet'!O13,RollerCar,2,FALSE))</f>
        <v/>
      </c>
      <c r="AQ4" s="108" t="str">
        <f>IF(D4="","",VLOOKUP('Job Sheet'!O13,RollerCar,3,FALSE))</f>
        <v/>
      </c>
      <c r="AR4" s="108" t="str">
        <f>IF(D4="","",VLOOKUP('Job Sheet'!O13,RollerCar,4,FALSE))</f>
        <v/>
      </c>
      <c r="AS4" s="108" t="str">
        <f>Bagging!F12</f>
        <v/>
      </c>
      <c r="AT4" s="112" t="str">
        <f>Bagging!E12</f>
        <v/>
      </c>
      <c r="AU4" s="108" t="str">
        <f>IF(D4="","",'Tube Cutting'!F13*'Tube Cutting'!G13)</f>
        <v/>
      </c>
      <c r="AV4" s="108" t="str">
        <f>IF(D4="","",'Tube Cutting'!I13*'Tube Cutting'!F13)</f>
        <v/>
      </c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</row>
    <row r="5" spans="1:148" ht="13.2" customHeight="1">
      <c r="D5" s="21" t="str">
        <f>IF('Tube Cutting'!C14="","",CONCATENATE(Data!BC$5,".",Data!BD$5))</f>
        <v/>
      </c>
      <c r="E5" s="21" t="str">
        <f>IF(D5="","",Data!AW13)</f>
        <v/>
      </c>
      <c r="F5" s="21" t="str">
        <f>IF(D5="","",Data!AV13)</f>
        <v/>
      </c>
      <c r="G5" s="21" t="str">
        <f>IF(D5="","",Data!BF$5)</f>
        <v/>
      </c>
      <c r="H5" s="21" t="str">
        <f>IF(D5="","",Data!AX$5)</f>
        <v/>
      </c>
      <c r="I5" s="21" t="str">
        <f>'Job Sheet'!L14</f>
        <v/>
      </c>
      <c r="J5" s="111" t="str">
        <f t="shared" si="0"/>
        <v/>
      </c>
      <c r="K5" s="108" t="str">
        <f>'Job Sheet'!N14</f>
        <v/>
      </c>
      <c r="L5" s="112" t="str">
        <f>'Fabric Cutting'!G13</f>
        <v/>
      </c>
      <c r="M5" s="112" t="str">
        <f>'Fabric Cutting'!H13</f>
        <v/>
      </c>
      <c r="N5" s="112" t="str">
        <f>IF(AND('Tube Cutting'!D14="4 Channel",'Tube Cutting'!E14="Anodised Silver"),'Tube Cutting'!C14,"")</f>
        <v/>
      </c>
      <c r="O5" s="108" t="str">
        <f>IF(AND('Tube Cutting'!D14="4 Channel",'Tube Cutting'!E14="White"),'Tube Cutting'!C14,"")</f>
        <v/>
      </c>
      <c r="P5" s="112" t="str">
        <f>IF(AND('Tube Cutting'!D14="4 Channel",'Tube Cutting'!E14="Black"),'Tube Cutting'!C14,"")</f>
        <v/>
      </c>
      <c r="Q5" s="112" t="str">
        <f>IF(AND('Tube Cutting'!D14="5 Channel",'Tube Cutting'!E14="Anodised Silver"),'Tube Cutting'!C14,"")</f>
        <v/>
      </c>
      <c r="R5" s="112" t="str">
        <f>IF(AND('Tube Cutting'!D14="5 Channel",'Tube Cutting'!E14="White"),'Tube Cutting'!C14,"")</f>
        <v/>
      </c>
      <c r="S5" s="112" t="str">
        <f>IF(AND('Tube Cutting'!D14="5 Channel",'Tube Cutting'!E14="Black"),'Tube Cutting'!C14,"")</f>
        <v/>
      </c>
      <c r="T5" s="112" t="str">
        <f>IF('Tube Cutting'!E14="Anodised Silver",'Tube Cutting'!F14*'Tube Cutting'!G14,"")</f>
        <v/>
      </c>
      <c r="U5" s="112" t="str">
        <f>IF('Tube Cutting'!E14="White",'Tube Cutting'!F14*'Tube Cutting'!G14,"")</f>
        <v/>
      </c>
      <c r="V5" s="112" t="str">
        <f>IF('Tube Cutting'!E14="Black",'Tube Cutting'!F14*'Tube Cutting'!G14,"")</f>
        <v/>
      </c>
      <c r="W5" s="108" t="str">
        <f>IF('Tube Cutting'!K14="Anodised Silver",'Tube Cutting'!I14*'Tube Cutting'!F14,"")</f>
        <v/>
      </c>
      <c r="X5" s="108" t="str">
        <f>IF('Tube Cutting'!K14="White",'Tube Cutting'!I14*'Tube Cutting'!F14,"")</f>
        <v/>
      </c>
      <c r="Y5" s="108" t="str">
        <f>IF('Tube Cutting'!K14="Black",'Tube Cutting'!I14*'Tube Cutting'!F14,"")</f>
        <v/>
      </c>
      <c r="Z5" s="108" t="str">
        <f>IF('Tube Cutting'!K14="Cream",'Tube Cutting'!J14*'Tube Cutting'!G14,"")</f>
        <v/>
      </c>
      <c r="AA5" s="108" t="str">
        <f>IF('Tube Cutting'!K14="Bone",'Tube Cutting'!J14*'Tube Cutting'!G14,"")</f>
        <v/>
      </c>
      <c r="AB5" s="108" t="str">
        <f>IF(AND('Tube Cutting'!D14="4 Channel",'Tube Cutting'!E14="Anodised Silver"),2,"")</f>
        <v/>
      </c>
      <c r="AC5" s="108" t="str">
        <f>IF(AND('Tube Cutting'!D14="4 Channel",'Tube Cutting'!E14="White"),2,"")</f>
        <v/>
      </c>
      <c r="AD5" s="108" t="str">
        <f>IF(AND('Tube Cutting'!D14="4 Channel",'Tube Cutting'!E14="Black"),2,"")</f>
        <v/>
      </c>
      <c r="AE5" s="108" t="str">
        <f>IF(AND('Tube Cutting'!D14="5 Channel",'Tube Cutting'!E14="Anodised Silver"),2,"")</f>
        <v/>
      </c>
      <c r="AF5" s="108" t="str">
        <f>IF(AND('Tube Cutting'!D14="5 Channel",'Tube Cutting'!E14="White"),2,"")</f>
        <v/>
      </c>
      <c r="AG5" s="108" t="str">
        <f>IF(AND('Tube Cutting'!D14="5 Channel",'Tube Cutting'!E14="Black"),2,"")</f>
        <v/>
      </c>
      <c r="AH5" s="108" t="str">
        <f>IF('Tube Cutting'!E14="Anodised Silver",K5*2,"")</f>
        <v/>
      </c>
      <c r="AI5" s="108" t="str">
        <f>IF('Tube Cutting'!E14="White",K5*2,"")</f>
        <v/>
      </c>
      <c r="AJ5" s="108" t="str">
        <f>IF('Tube Cutting'!E14="Black",K5*2,"")</f>
        <v/>
      </c>
      <c r="AK5" s="108" t="str">
        <f>IF('Tube Cutting'!K14="Anodised Silver",K5*2,"")</f>
        <v/>
      </c>
      <c r="AL5" s="108" t="str">
        <f>IF('Tube Cutting'!K14="White",K5*2,"")</f>
        <v/>
      </c>
      <c r="AM5" s="108" t="str">
        <f>IF('Tube Cutting'!K14="Black",K5*2,"")</f>
        <v/>
      </c>
      <c r="AN5" s="108" t="str">
        <f>IF('Tube Cutting'!K14="Cream",K5*2,"")</f>
        <v/>
      </c>
      <c r="AO5" s="108" t="str">
        <f>IF('Tube Cutting'!K14="Bone",K5*2,"")</f>
        <v/>
      </c>
      <c r="AP5" s="108" t="str">
        <f>IF(D5="","",VLOOKUP('Job Sheet'!O14,RollerCar,2,FALSE))</f>
        <v/>
      </c>
      <c r="AQ5" s="108" t="str">
        <f>IF(D5="","",VLOOKUP('Job Sheet'!O14,RollerCar,3,FALSE))</f>
        <v/>
      </c>
      <c r="AR5" s="108" t="str">
        <f>IF(D5="","",VLOOKUP('Job Sheet'!O14,RollerCar,4,FALSE))</f>
        <v/>
      </c>
      <c r="AS5" s="108" t="str">
        <f>Bagging!F13</f>
        <v/>
      </c>
      <c r="AT5" s="112" t="str">
        <f>Bagging!E13</f>
        <v/>
      </c>
      <c r="AU5" s="108" t="str">
        <f>IF(D5="","",'Tube Cutting'!F14*'Tube Cutting'!G14)</f>
        <v/>
      </c>
      <c r="AV5" s="108" t="str">
        <f>IF(D5="","",'Tube Cutting'!I14*'Tube Cutting'!F14)</f>
        <v/>
      </c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</row>
    <row r="6" spans="1:148" ht="13.2" customHeight="1">
      <c r="D6" s="21" t="str">
        <f>IF('Tube Cutting'!C15="","",CONCATENATE(Data!BC$5,".",Data!BD$5))</f>
        <v/>
      </c>
      <c r="E6" s="21" t="str">
        <f>IF(D6="","",Data!AW14)</f>
        <v/>
      </c>
      <c r="F6" s="21" t="str">
        <f>IF(D6="","",Data!AV14)</f>
        <v/>
      </c>
      <c r="G6" s="21" t="str">
        <f>IF(D6="","",Data!BF$5)</f>
        <v/>
      </c>
      <c r="H6" s="21" t="str">
        <f>IF(D6="","",Data!AX$5)</f>
        <v/>
      </c>
      <c r="I6" s="21" t="str">
        <f>'Job Sheet'!L15</f>
        <v/>
      </c>
      <c r="J6" s="111" t="str">
        <f t="shared" si="0"/>
        <v/>
      </c>
      <c r="K6" s="108" t="str">
        <f>'Job Sheet'!N15</f>
        <v/>
      </c>
      <c r="L6" s="112" t="str">
        <f>'Fabric Cutting'!G14</f>
        <v/>
      </c>
      <c r="M6" s="112" t="str">
        <f>'Fabric Cutting'!H14</f>
        <v/>
      </c>
      <c r="N6" s="112" t="str">
        <f>IF(AND('Tube Cutting'!D15="4 Channel",'Tube Cutting'!E15="Anodised Silver"),'Tube Cutting'!C15,"")</f>
        <v/>
      </c>
      <c r="O6" s="108" t="str">
        <f>IF(AND('Tube Cutting'!D15="4 Channel",'Tube Cutting'!E15="White"),'Tube Cutting'!C15,"")</f>
        <v/>
      </c>
      <c r="P6" s="112" t="str">
        <f>IF(AND('Tube Cutting'!D15="4 Channel",'Tube Cutting'!E15="Black"),'Tube Cutting'!C15,"")</f>
        <v/>
      </c>
      <c r="Q6" s="112" t="str">
        <f>IF(AND('Tube Cutting'!D15="5 Channel",'Tube Cutting'!E15="Anodised Silver"),'Tube Cutting'!C15,"")</f>
        <v/>
      </c>
      <c r="R6" s="112" t="str">
        <f>IF(AND('Tube Cutting'!D15="5 Channel",'Tube Cutting'!E15="White"),'Tube Cutting'!C15,"")</f>
        <v/>
      </c>
      <c r="S6" s="112" t="str">
        <f>IF(AND('Tube Cutting'!D15="5 Channel",'Tube Cutting'!E15="Black"),'Tube Cutting'!C15,"")</f>
        <v/>
      </c>
      <c r="T6" s="112" t="str">
        <f>IF('Tube Cutting'!E15="Anodised Silver",'Tube Cutting'!F15*'Tube Cutting'!G15,"")</f>
        <v/>
      </c>
      <c r="U6" s="112" t="str">
        <f>IF('Tube Cutting'!E15="White",'Tube Cutting'!F15*'Tube Cutting'!G15,"")</f>
        <v/>
      </c>
      <c r="V6" s="112" t="str">
        <f>IF('Tube Cutting'!E15="Black",'Tube Cutting'!F15*'Tube Cutting'!G15,"")</f>
        <v/>
      </c>
      <c r="W6" s="108" t="str">
        <f>IF('Tube Cutting'!K15="Anodised Silver",'Tube Cutting'!I15*'Tube Cutting'!F15,"")</f>
        <v/>
      </c>
      <c r="X6" s="108" t="str">
        <f>IF('Tube Cutting'!K15="White",'Tube Cutting'!I15*'Tube Cutting'!F15,"")</f>
        <v/>
      </c>
      <c r="Y6" s="108" t="str">
        <f>IF('Tube Cutting'!K15="Black",'Tube Cutting'!I15*'Tube Cutting'!F15,"")</f>
        <v/>
      </c>
      <c r="Z6" s="108" t="str">
        <f>IF('Tube Cutting'!K15="Cream",'Tube Cutting'!J15*'Tube Cutting'!G15,"")</f>
        <v/>
      </c>
      <c r="AA6" s="108" t="str">
        <f>IF('Tube Cutting'!K15="Bone",'Tube Cutting'!J15*'Tube Cutting'!G15,"")</f>
        <v/>
      </c>
      <c r="AB6" s="108" t="str">
        <f>IF(AND('Tube Cutting'!D15="4 Channel",'Tube Cutting'!E15="Anodised Silver"),2,"")</f>
        <v/>
      </c>
      <c r="AC6" s="108" t="str">
        <f>IF(AND('Tube Cutting'!D15="4 Channel",'Tube Cutting'!E15="White"),2,"")</f>
        <v/>
      </c>
      <c r="AD6" s="108" t="str">
        <f>IF(AND('Tube Cutting'!D15="4 Channel",'Tube Cutting'!E15="Black"),2,"")</f>
        <v/>
      </c>
      <c r="AE6" s="108" t="str">
        <f>IF(AND('Tube Cutting'!D15="5 Channel",'Tube Cutting'!E15="Anodised Silver"),2,"")</f>
        <v/>
      </c>
      <c r="AF6" s="108" t="str">
        <f>IF(AND('Tube Cutting'!D15="5 Channel",'Tube Cutting'!E15="White"),2,"")</f>
        <v/>
      </c>
      <c r="AG6" s="108" t="str">
        <f>IF(AND('Tube Cutting'!D15="5 Channel",'Tube Cutting'!E15="Black"),2,"")</f>
        <v/>
      </c>
      <c r="AH6" s="108" t="str">
        <f>IF('Tube Cutting'!E15="Anodised Silver",K6*2,"")</f>
        <v/>
      </c>
      <c r="AI6" s="108" t="str">
        <f>IF('Tube Cutting'!E15="White",K6*2,"")</f>
        <v/>
      </c>
      <c r="AJ6" s="108" t="str">
        <f>IF('Tube Cutting'!E15="Black",K6*2,"")</f>
        <v/>
      </c>
      <c r="AK6" s="108" t="str">
        <f>IF('Tube Cutting'!K15="Anodised Silver",K6*2,"")</f>
        <v/>
      </c>
      <c r="AL6" s="108" t="str">
        <f>IF('Tube Cutting'!K15="White",K6*2,"")</f>
        <v/>
      </c>
      <c r="AM6" s="108" t="str">
        <f>IF('Tube Cutting'!K15="Black",K6*2,"")</f>
        <v/>
      </c>
      <c r="AN6" s="108" t="str">
        <f>IF('Tube Cutting'!K15="Cream",K6*2,"")</f>
        <v/>
      </c>
      <c r="AO6" s="108" t="str">
        <f>IF('Tube Cutting'!K15="Bone",K6*2,"")</f>
        <v/>
      </c>
      <c r="AP6" s="108" t="str">
        <f>IF(D6="","",VLOOKUP('Job Sheet'!O15,RollerCar,2,FALSE))</f>
        <v/>
      </c>
      <c r="AQ6" s="108" t="str">
        <f>IF(D6="","",VLOOKUP('Job Sheet'!O15,RollerCar,3,FALSE))</f>
        <v/>
      </c>
      <c r="AR6" s="108" t="str">
        <f>IF(D6="","",VLOOKUP('Job Sheet'!O15,RollerCar,4,FALSE))</f>
        <v/>
      </c>
      <c r="AS6" s="108" t="str">
        <f>Bagging!F14</f>
        <v/>
      </c>
      <c r="AT6" s="112" t="str">
        <f>Bagging!E14</f>
        <v/>
      </c>
      <c r="AU6" s="108" t="str">
        <f>IF(D6="","",'Tube Cutting'!F15*'Tube Cutting'!G15)</f>
        <v/>
      </c>
      <c r="AV6" s="108" t="str">
        <f>IF(D6="","",'Tube Cutting'!I15*'Tube Cutting'!F15)</f>
        <v/>
      </c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</row>
    <row r="7" spans="1:148" ht="13.2" customHeight="1">
      <c r="D7" s="21" t="str">
        <f>IF('Tube Cutting'!C16="","",CONCATENATE(Data!BC$5,".",Data!BD$5))</f>
        <v/>
      </c>
      <c r="E7" s="21" t="str">
        <f>IF(D7="","",Data!AW15)</f>
        <v/>
      </c>
      <c r="F7" s="21" t="str">
        <f>IF(D7="","",Data!AV15)</f>
        <v/>
      </c>
      <c r="G7" s="21" t="str">
        <f>IF(D7="","",Data!BF$5)</f>
        <v/>
      </c>
      <c r="H7" s="21" t="str">
        <f>IF(D7="","",Data!AX$5)</f>
        <v/>
      </c>
      <c r="I7" s="21" t="str">
        <f>'Job Sheet'!L16</f>
        <v/>
      </c>
      <c r="J7" s="111" t="str">
        <f t="shared" si="0"/>
        <v/>
      </c>
      <c r="K7" s="108" t="str">
        <f>'Job Sheet'!N16</f>
        <v/>
      </c>
      <c r="L7" s="112" t="str">
        <f>'Fabric Cutting'!G15</f>
        <v/>
      </c>
      <c r="M7" s="112" t="str">
        <f>'Fabric Cutting'!H15</f>
        <v/>
      </c>
      <c r="N7" s="112" t="str">
        <f>IF(AND('Tube Cutting'!D16="4 Channel",'Tube Cutting'!E16="Anodised Silver"),'Tube Cutting'!C16,"")</f>
        <v/>
      </c>
      <c r="O7" s="108" t="str">
        <f>IF(AND('Tube Cutting'!D16="4 Channel",'Tube Cutting'!E16="White"),'Tube Cutting'!C16,"")</f>
        <v/>
      </c>
      <c r="P7" s="112" t="str">
        <f>IF(AND('Tube Cutting'!D16="4 Channel",'Tube Cutting'!E16="Black"),'Tube Cutting'!C16,"")</f>
        <v/>
      </c>
      <c r="Q7" s="112" t="str">
        <f>IF(AND('Tube Cutting'!D16="5 Channel",'Tube Cutting'!E16="Anodised Silver"),'Tube Cutting'!C16,"")</f>
        <v/>
      </c>
      <c r="R7" s="112" t="str">
        <f>IF(AND('Tube Cutting'!D16="5 Channel",'Tube Cutting'!E16="White"),'Tube Cutting'!C16,"")</f>
        <v/>
      </c>
      <c r="S7" s="112" t="str">
        <f>IF(AND('Tube Cutting'!D16="5 Channel",'Tube Cutting'!E16="Black"),'Tube Cutting'!C16,"")</f>
        <v/>
      </c>
      <c r="T7" s="112" t="str">
        <f>IF('Tube Cutting'!E16="Anodised Silver",'Tube Cutting'!F16*'Tube Cutting'!G16,"")</f>
        <v/>
      </c>
      <c r="U7" s="112" t="str">
        <f>IF('Tube Cutting'!E16="White",'Tube Cutting'!F16*'Tube Cutting'!G16,"")</f>
        <v/>
      </c>
      <c r="V7" s="112" t="str">
        <f>IF('Tube Cutting'!E16="Black",'Tube Cutting'!F16*'Tube Cutting'!G16,"")</f>
        <v/>
      </c>
      <c r="W7" s="108" t="str">
        <f>IF('Tube Cutting'!K16="Anodised Silver",'Tube Cutting'!I16*'Tube Cutting'!F16,"")</f>
        <v/>
      </c>
      <c r="X7" s="108" t="str">
        <f>IF('Tube Cutting'!K16="White",'Tube Cutting'!I16*'Tube Cutting'!F16,"")</f>
        <v/>
      </c>
      <c r="Y7" s="108" t="str">
        <f>IF('Tube Cutting'!K16="Black",'Tube Cutting'!I16*'Tube Cutting'!F16,"")</f>
        <v/>
      </c>
      <c r="Z7" s="108" t="str">
        <f>IF('Tube Cutting'!K16="Cream",'Tube Cutting'!J16*'Tube Cutting'!G16,"")</f>
        <v/>
      </c>
      <c r="AA7" s="108" t="str">
        <f>IF('Tube Cutting'!K16="Bone",'Tube Cutting'!J16*'Tube Cutting'!G16,"")</f>
        <v/>
      </c>
      <c r="AB7" s="108" t="str">
        <f>IF(AND('Tube Cutting'!D16="4 Channel",'Tube Cutting'!E16="Anodised Silver"),2,"")</f>
        <v/>
      </c>
      <c r="AC7" s="108" t="str">
        <f>IF(AND('Tube Cutting'!D16="4 Channel",'Tube Cutting'!E16="White"),2,"")</f>
        <v/>
      </c>
      <c r="AD7" s="108" t="str">
        <f>IF(AND('Tube Cutting'!D16="4 Channel",'Tube Cutting'!E16="Black"),2,"")</f>
        <v/>
      </c>
      <c r="AE7" s="108" t="str">
        <f>IF(AND('Tube Cutting'!D16="5 Channel",'Tube Cutting'!E16="Anodised Silver"),2,"")</f>
        <v/>
      </c>
      <c r="AF7" s="108" t="str">
        <f>IF(AND('Tube Cutting'!D16="5 Channel",'Tube Cutting'!E16="White"),2,"")</f>
        <v/>
      </c>
      <c r="AG7" s="108" t="str">
        <f>IF(AND('Tube Cutting'!D16="5 Channel",'Tube Cutting'!E16="Black"),2,"")</f>
        <v/>
      </c>
      <c r="AH7" s="108" t="str">
        <f>IF('Tube Cutting'!E16="Anodised Silver",K7*2,"")</f>
        <v/>
      </c>
      <c r="AI7" s="108" t="str">
        <f>IF('Tube Cutting'!E16="White",K7*2,"")</f>
        <v/>
      </c>
      <c r="AJ7" s="108" t="str">
        <f>IF('Tube Cutting'!E16="Black",K7*2,"")</f>
        <v/>
      </c>
      <c r="AK7" s="108" t="str">
        <f>IF('Tube Cutting'!K16="Anodised Silver",K7*2,"")</f>
        <v/>
      </c>
      <c r="AL7" s="108" t="str">
        <f>IF('Tube Cutting'!K16="White",K7*2,"")</f>
        <v/>
      </c>
      <c r="AM7" s="108" t="str">
        <f>IF('Tube Cutting'!K16="Black",K7*2,"")</f>
        <v/>
      </c>
      <c r="AN7" s="108" t="str">
        <f>IF('Tube Cutting'!K16="Cream",K7*2,"")</f>
        <v/>
      </c>
      <c r="AO7" s="108" t="str">
        <f>IF('Tube Cutting'!K16="Bone",K7*2,"")</f>
        <v/>
      </c>
      <c r="AP7" s="108" t="str">
        <f>IF(D7="","",VLOOKUP('Job Sheet'!O16,RollerCar,2,FALSE))</f>
        <v/>
      </c>
      <c r="AQ7" s="108" t="str">
        <f>IF(D7="","",VLOOKUP('Job Sheet'!O16,RollerCar,3,FALSE))</f>
        <v/>
      </c>
      <c r="AR7" s="108" t="str">
        <f>IF(D7="","",VLOOKUP('Job Sheet'!O16,RollerCar,4,FALSE))</f>
        <v/>
      </c>
      <c r="AS7" s="108" t="str">
        <f>Bagging!F15</f>
        <v/>
      </c>
      <c r="AT7" s="112" t="str">
        <f>Bagging!E15</f>
        <v/>
      </c>
      <c r="AU7" s="108" t="str">
        <f>IF(D7="","",'Tube Cutting'!F16*'Tube Cutting'!G16)</f>
        <v/>
      </c>
      <c r="AV7" s="108" t="str">
        <f>IF(D7="","",'Tube Cutting'!I16*'Tube Cutting'!F16)</f>
        <v/>
      </c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</row>
    <row r="8" spans="1:148" ht="13.2" customHeight="1">
      <c r="D8" s="21" t="str">
        <f>IF('Tube Cutting'!C17="","",CONCATENATE(Data!BC$5,".",Data!BD$5))</f>
        <v/>
      </c>
      <c r="E8" s="21" t="str">
        <f>IF(D8="","",Data!AW16)</f>
        <v/>
      </c>
      <c r="F8" s="21" t="str">
        <f>IF(D8="","",Data!AV16)</f>
        <v/>
      </c>
      <c r="G8" s="21" t="str">
        <f>IF(D8="","",Data!BF$5)</f>
        <v/>
      </c>
      <c r="H8" s="21" t="str">
        <f>IF(D8="","",Data!AX$5)</f>
        <v/>
      </c>
      <c r="I8" s="21" t="str">
        <f>'Job Sheet'!L17</f>
        <v/>
      </c>
      <c r="J8" s="111" t="str">
        <f t="shared" si="0"/>
        <v/>
      </c>
      <c r="K8" s="108" t="str">
        <f>'Job Sheet'!N17</f>
        <v/>
      </c>
      <c r="L8" s="112" t="str">
        <f>'Fabric Cutting'!G16</f>
        <v/>
      </c>
      <c r="M8" s="112" t="str">
        <f>'Fabric Cutting'!H16</f>
        <v/>
      </c>
      <c r="N8" s="112" t="str">
        <f>IF(AND('Tube Cutting'!D17="4 Channel",'Tube Cutting'!E17="Anodised Silver"),'Tube Cutting'!C17,"")</f>
        <v/>
      </c>
      <c r="O8" s="108" t="str">
        <f>IF(AND('Tube Cutting'!D17="4 Channel",'Tube Cutting'!E17="White"),'Tube Cutting'!C17,"")</f>
        <v/>
      </c>
      <c r="P8" s="112" t="str">
        <f>IF(AND('Tube Cutting'!D17="4 Channel",'Tube Cutting'!E17="Black"),'Tube Cutting'!C17,"")</f>
        <v/>
      </c>
      <c r="Q8" s="112" t="str">
        <f>IF(AND('Tube Cutting'!D17="5 Channel",'Tube Cutting'!E17="Anodised Silver"),'Tube Cutting'!C17,"")</f>
        <v/>
      </c>
      <c r="R8" s="112" t="str">
        <f>IF(AND('Tube Cutting'!D17="5 Channel",'Tube Cutting'!E17="White"),'Tube Cutting'!C17,"")</f>
        <v/>
      </c>
      <c r="S8" s="112" t="str">
        <f>IF(AND('Tube Cutting'!D17="5 Channel",'Tube Cutting'!E17="Black"),'Tube Cutting'!C17,"")</f>
        <v/>
      </c>
      <c r="T8" s="112" t="str">
        <f>IF('Tube Cutting'!E17="Anodised Silver",'Tube Cutting'!F17*'Tube Cutting'!G17,"")</f>
        <v/>
      </c>
      <c r="U8" s="112" t="str">
        <f>IF('Tube Cutting'!E17="White",'Tube Cutting'!F17*'Tube Cutting'!G17,"")</f>
        <v/>
      </c>
      <c r="V8" s="112" t="str">
        <f>IF('Tube Cutting'!E17="Black",'Tube Cutting'!F17*'Tube Cutting'!G17,"")</f>
        <v/>
      </c>
      <c r="W8" s="108" t="str">
        <f>IF('Tube Cutting'!K17="Anodised Silver",'Tube Cutting'!I17*'Tube Cutting'!F17,"")</f>
        <v/>
      </c>
      <c r="X8" s="108" t="str">
        <f>IF('Tube Cutting'!K17="White",'Tube Cutting'!I17*'Tube Cutting'!F17,"")</f>
        <v/>
      </c>
      <c r="Y8" s="108" t="str">
        <f>IF('Tube Cutting'!K17="Black",'Tube Cutting'!I17*'Tube Cutting'!F17,"")</f>
        <v/>
      </c>
      <c r="Z8" s="108" t="str">
        <f>IF('Tube Cutting'!K17="Cream",'Tube Cutting'!J17*'Tube Cutting'!G17,"")</f>
        <v/>
      </c>
      <c r="AA8" s="108" t="str">
        <f>IF('Tube Cutting'!K17="Bone",'Tube Cutting'!J17*'Tube Cutting'!G17,"")</f>
        <v/>
      </c>
      <c r="AB8" s="108" t="str">
        <f>IF(AND('Tube Cutting'!D17="4 Channel",'Tube Cutting'!E17="Anodised Silver"),2,"")</f>
        <v/>
      </c>
      <c r="AC8" s="108" t="str">
        <f>IF(AND('Tube Cutting'!D17="4 Channel",'Tube Cutting'!E17="White"),2,"")</f>
        <v/>
      </c>
      <c r="AD8" s="108" t="str">
        <f>IF(AND('Tube Cutting'!D17="4 Channel",'Tube Cutting'!E17="Black"),2,"")</f>
        <v/>
      </c>
      <c r="AE8" s="108" t="str">
        <f>IF(AND('Tube Cutting'!D17="5 Channel",'Tube Cutting'!E17="Anodised Silver"),2,"")</f>
        <v/>
      </c>
      <c r="AF8" s="108" t="str">
        <f>IF(AND('Tube Cutting'!D17="5 Channel",'Tube Cutting'!E17="White"),2,"")</f>
        <v/>
      </c>
      <c r="AG8" s="108" t="str">
        <f>IF(AND('Tube Cutting'!D17="5 Channel",'Tube Cutting'!E17="Black"),2,"")</f>
        <v/>
      </c>
      <c r="AH8" s="108" t="str">
        <f>IF('Tube Cutting'!E17="Anodised Silver",K8*2,"")</f>
        <v/>
      </c>
      <c r="AI8" s="108" t="str">
        <f>IF('Tube Cutting'!E17="White",K8*2,"")</f>
        <v/>
      </c>
      <c r="AJ8" s="108" t="str">
        <f>IF('Tube Cutting'!E17="Black",K8*2,"")</f>
        <v/>
      </c>
      <c r="AK8" s="108" t="str">
        <f>IF('Tube Cutting'!K17="Anodised Silver",K8*2,"")</f>
        <v/>
      </c>
      <c r="AL8" s="108" t="str">
        <f>IF('Tube Cutting'!K17="White",K8*2,"")</f>
        <v/>
      </c>
      <c r="AM8" s="108" t="str">
        <f>IF('Tube Cutting'!K17="Black",K8*2,"")</f>
        <v/>
      </c>
      <c r="AN8" s="108" t="str">
        <f>IF('Tube Cutting'!K17="Cream",K8*2,"")</f>
        <v/>
      </c>
      <c r="AO8" s="108" t="str">
        <f>IF('Tube Cutting'!K17="Bone",K8*2,"")</f>
        <v/>
      </c>
      <c r="AP8" s="108" t="str">
        <f>IF(D8="","",VLOOKUP('Job Sheet'!O17,RollerCar,2,FALSE))</f>
        <v/>
      </c>
      <c r="AQ8" s="108" t="str">
        <f>IF(D8="","",VLOOKUP('Job Sheet'!O17,RollerCar,3,FALSE))</f>
        <v/>
      </c>
      <c r="AR8" s="108" t="str">
        <f>IF(D8="","",VLOOKUP('Job Sheet'!O17,RollerCar,4,FALSE))</f>
        <v/>
      </c>
      <c r="AS8" s="108" t="str">
        <f>Bagging!F16</f>
        <v/>
      </c>
      <c r="AT8" s="112" t="str">
        <f>Bagging!E16</f>
        <v/>
      </c>
      <c r="AU8" s="108" t="str">
        <f>IF(D8="","",'Tube Cutting'!F17*'Tube Cutting'!G17)</f>
        <v/>
      </c>
      <c r="AV8" s="108" t="str">
        <f>IF(D8="","",'Tube Cutting'!I17*'Tube Cutting'!F17)</f>
        <v/>
      </c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</row>
    <row r="9" spans="1:148" ht="13.2" customHeight="1">
      <c r="D9" s="21" t="str">
        <f>IF('Tube Cutting'!C18="","",CONCATENATE(Data!BC$5,".",Data!BD$5))</f>
        <v/>
      </c>
      <c r="E9" s="21" t="str">
        <f>IF(D9="","",Data!AW17)</f>
        <v/>
      </c>
      <c r="F9" s="21" t="str">
        <f>IF(D9="","",Data!AV17)</f>
        <v/>
      </c>
      <c r="G9" s="21" t="str">
        <f>IF(D9="","",Data!BF$5)</f>
        <v/>
      </c>
      <c r="H9" s="21" t="str">
        <f>IF(D9="","",Data!AX$5)</f>
        <v/>
      </c>
      <c r="I9" s="21" t="str">
        <f>'Job Sheet'!L18</f>
        <v/>
      </c>
      <c r="J9" s="111" t="str">
        <f t="shared" si="0"/>
        <v/>
      </c>
      <c r="K9" s="108" t="str">
        <f>'Job Sheet'!N18</f>
        <v/>
      </c>
      <c r="L9" s="112" t="str">
        <f>'Fabric Cutting'!G17</f>
        <v/>
      </c>
      <c r="M9" s="112" t="str">
        <f>'Fabric Cutting'!H17</f>
        <v/>
      </c>
      <c r="N9" s="112" t="str">
        <f>IF(AND('Tube Cutting'!D18="4 Channel",'Tube Cutting'!E18="Anodised Silver"),'Tube Cutting'!C18,"")</f>
        <v/>
      </c>
      <c r="O9" s="108" t="str">
        <f>IF(AND('Tube Cutting'!D18="4 Channel",'Tube Cutting'!E18="White"),'Tube Cutting'!C18,"")</f>
        <v/>
      </c>
      <c r="P9" s="112" t="str">
        <f>IF(AND('Tube Cutting'!D18="4 Channel",'Tube Cutting'!E18="Black"),'Tube Cutting'!C18,"")</f>
        <v/>
      </c>
      <c r="Q9" s="112" t="str">
        <f>IF(AND('Tube Cutting'!D18="5 Channel",'Tube Cutting'!E18="Anodised Silver"),'Tube Cutting'!C18,"")</f>
        <v/>
      </c>
      <c r="R9" s="112" t="str">
        <f>IF(AND('Tube Cutting'!D18="5 Channel",'Tube Cutting'!E18="White"),'Tube Cutting'!C18,"")</f>
        <v/>
      </c>
      <c r="S9" s="112" t="str">
        <f>IF(AND('Tube Cutting'!D18="5 Channel",'Tube Cutting'!E18="Black"),'Tube Cutting'!C18,"")</f>
        <v/>
      </c>
      <c r="T9" s="112" t="str">
        <f>IF('Tube Cutting'!E18="Anodised Silver",'Tube Cutting'!F18*'Tube Cutting'!G18,"")</f>
        <v/>
      </c>
      <c r="U9" s="112" t="str">
        <f>IF('Tube Cutting'!E18="White",'Tube Cutting'!F18*'Tube Cutting'!G18,"")</f>
        <v/>
      </c>
      <c r="V9" s="112" t="str">
        <f>IF('Tube Cutting'!E18="Black",'Tube Cutting'!F18*'Tube Cutting'!G18,"")</f>
        <v/>
      </c>
      <c r="W9" s="108" t="str">
        <f>IF('Tube Cutting'!K18="Anodised Silver",'Tube Cutting'!I18*'Tube Cutting'!F18,"")</f>
        <v/>
      </c>
      <c r="X9" s="108" t="str">
        <f>IF('Tube Cutting'!K18="White",'Tube Cutting'!I18*'Tube Cutting'!F18,"")</f>
        <v/>
      </c>
      <c r="Y9" s="108" t="str">
        <f>IF('Tube Cutting'!K18="Black",'Tube Cutting'!I18*'Tube Cutting'!F18,"")</f>
        <v/>
      </c>
      <c r="Z9" s="108" t="str">
        <f>IF('Tube Cutting'!K18="Cream",'Tube Cutting'!J18*'Tube Cutting'!G18,"")</f>
        <v/>
      </c>
      <c r="AA9" s="108" t="str">
        <f>IF('Tube Cutting'!K18="Bone",'Tube Cutting'!J18*'Tube Cutting'!G18,"")</f>
        <v/>
      </c>
      <c r="AB9" s="108" t="str">
        <f>IF(AND('Tube Cutting'!D18="4 Channel",'Tube Cutting'!E18="Anodised Silver"),2,"")</f>
        <v/>
      </c>
      <c r="AC9" s="108" t="str">
        <f>IF(AND('Tube Cutting'!D18="4 Channel",'Tube Cutting'!E18="White"),2,"")</f>
        <v/>
      </c>
      <c r="AD9" s="108" t="str">
        <f>IF(AND('Tube Cutting'!D18="4 Channel",'Tube Cutting'!E18="Black"),2,"")</f>
        <v/>
      </c>
      <c r="AE9" s="108" t="str">
        <f>IF(AND('Tube Cutting'!D18="5 Channel",'Tube Cutting'!E18="Anodised Silver"),2,"")</f>
        <v/>
      </c>
      <c r="AF9" s="108" t="str">
        <f>IF(AND('Tube Cutting'!D18="5 Channel",'Tube Cutting'!E18="White"),2,"")</f>
        <v/>
      </c>
      <c r="AG9" s="108" t="str">
        <f>IF(AND('Tube Cutting'!D18="5 Channel",'Tube Cutting'!E18="Black"),2,"")</f>
        <v/>
      </c>
      <c r="AH9" s="108" t="str">
        <f>IF('Tube Cutting'!E18="Anodised Silver",K9*2,"")</f>
        <v/>
      </c>
      <c r="AI9" s="108" t="str">
        <f>IF('Tube Cutting'!E18="White",K9*2,"")</f>
        <v/>
      </c>
      <c r="AJ9" s="108" t="str">
        <f>IF('Tube Cutting'!E18="Black",K9*2,"")</f>
        <v/>
      </c>
      <c r="AK9" s="108" t="str">
        <f>IF('Tube Cutting'!K18="Anodised Silver",K9*2,"")</f>
        <v/>
      </c>
      <c r="AL9" s="108" t="str">
        <f>IF('Tube Cutting'!K18="White",K9*2,"")</f>
        <v/>
      </c>
      <c r="AM9" s="108" t="str">
        <f>IF('Tube Cutting'!K18="Black",K9*2,"")</f>
        <v/>
      </c>
      <c r="AN9" s="108" t="str">
        <f>IF('Tube Cutting'!K18="Cream",K9*2,"")</f>
        <v/>
      </c>
      <c r="AO9" s="108" t="str">
        <f>IF('Tube Cutting'!K18="Bone",K9*2,"")</f>
        <v/>
      </c>
      <c r="AP9" s="108" t="str">
        <f>IF(D9="","",VLOOKUP('Job Sheet'!O18,RollerCar,2,FALSE))</f>
        <v/>
      </c>
      <c r="AQ9" s="108" t="str">
        <f>IF(D9="","",VLOOKUP('Job Sheet'!O18,RollerCar,3,FALSE))</f>
        <v/>
      </c>
      <c r="AR9" s="108" t="str">
        <f>IF(D9="","",VLOOKUP('Job Sheet'!O18,RollerCar,4,FALSE))</f>
        <v/>
      </c>
      <c r="AS9" s="108" t="str">
        <f>Bagging!F17</f>
        <v/>
      </c>
      <c r="AT9" s="112" t="str">
        <f>Bagging!E17</f>
        <v/>
      </c>
      <c r="AU9" s="108" t="str">
        <f>IF(D9="","",'Tube Cutting'!F18*'Tube Cutting'!G18)</f>
        <v/>
      </c>
      <c r="AV9" s="108" t="str">
        <f>IF(D9="","",'Tube Cutting'!I18*'Tube Cutting'!F18)</f>
        <v/>
      </c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</row>
    <row r="10" spans="1:148" ht="13.2" customHeight="1">
      <c r="D10" s="21" t="str">
        <f>IF('Tube Cutting'!C19="","",CONCATENATE(Data!BC$5,".",Data!BD$5))</f>
        <v/>
      </c>
      <c r="E10" s="21" t="str">
        <f>IF(D10="","",Data!AW18)</f>
        <v/>
      </c>
      <c r="F10" s="21" t="str">
        <f>IF(D10="","",Data!AV18)</f>
        <v/>
      </c>
      <c r="G10" s="21" t="str">
        <f>IF(D10="","",Data!BF$5)</f>
        <v/>
      </c>
      <c r="H10" s="21" t="str">
        <f>IF(D10="","",Data!AX$5)</f>
        <v/>
      </c>
      <c r="I10" s="21" t="str">
        <f>'Job Sheet'!L19</f>
        <v/>
      </c>
      <c r="J10" s="111" t="str">
        <f t="shared" si="0"/>
        <v/>
      </c>
      <c r="K10" s="108" t="str">
        <f>'Job Sheet'!N19</f>
        <v/>
      </c>
      <c r="L10" s="112" t="str">
        <f>'Fabric Cutting'!G18</f>
        <v/>
      </c>
      <c r="M10" s="112" t="str">
        <f>'Fabric Cutting'!H18</f>
        <v/>
      </c>
      <c r="N10" s="112" t="str">
        <f>IF(AND('Tube Cutting'!D19="4 Channel",'Tube Cutting'!E19="Anodised Silver"),'Tube Cutting'!C19,"")</f>
        <v/>
      </c>
      <c r="O10" s="108" t="str">
        <f>IF(AND('Tube Cutting'!D19="4 Channel",'Tube Cutting'!E19="White"),'Tube Cutting'!C19,"")</f>
        <v/>
      </c>
      <c r="P10" s="112" t="str">
        <f>IF(AND('Tube Cutting'!D19="4 Channel",'Tube Cutting'!E19="Black"),'Tube Cutting'!C19,"")</f>
        <v/>
      </c>
      <c r="Q10" s="112" t="str">
        <f>IF(AND('Tube Cutting'!D19="5 Channel",'Tube Cutting'!E19="Anodised Silver"),'Tube Cutting'!C19,"")</f>
        <v/>
      </c>
      <c r="R10" s="112" t="str">
        <f>IF(AND('Tube Cutting'!D19="5 Channel",'Tube Cutting'!E19="White"),'Tube Cutting'!C19,"")</f>
        <v/>
      </c>
      <c r="S10" s="112" t="str">
        <f>IF(AND('Tube Cutting'!D19="5 Channel",'Tube Cutting'!E19="Black"),'Tube Cutting'!C19,"")</f>
        <v/>
      </c>
      <c r="T10" s="112" t="str">
        <f>IF('Tube Cutting'!E19="Anodised Silver",'Tube Cutting'!F19*'Tube Cutting'!G19,"")</f>
        <v/>
      </c>
      <c r="U10" s="112" t="str">
        <f>IF('Tube Cutting'!E19="White",'Tube Cutting'!F19*'Tube Cutting'!G19,"")</f>
        <v/>
      </c>
      <c r="V10" s="112" t="str">
        <f>IF('Tube Cutting'!E19="Black",'Tube Cutting'!F19*'Tube Cutting'!G19,"")</f>
        <v/>
      </c>
      <c r="W10" s="108" t="str">
        <f>IF('Tube Cutting'!K19="Anodised Silver",'Tube Cutting'!I19*'Tube Cutting'!F19,"")</f>
        <v/>
      </c>
      <c r="X10" s="108" t="str">
        <f>IF('Tube Cutting'!K19="White",'Tube Cutting'!I19*'Tube Cutting'!F19,"")</f>
        <v/>
      </c>
      <c r="Y10" s="108" t="str">
        <f>IF('Tube Cutting'!K19="Black",'Tube Cutting'!I19*'Tube Cutting'!F19,"")</f>
        <v/>
      </c>
      <c r="Z10" s="108" t="str">
        <f>IF('Tube Cutting'!K19="Cream",'Tube Cutting'!J19*'Tube Cutting'!G19,"")</f>
        <v/>
      </c>
      <c r="AA10" s="108" t="str">
        <f>IF('Tube Cutting'!K19="Bone",'Tube Cutting'!J19*'Tube Cutting'!G19,"")</f>
        <v/>
      </c>
      <c r="AB10" s="108" t="str">
        <f>IF(AND('Tube Cutting'!D19="4 Channel",'Tube Cutting'!E19="Anodised Silver"),2,"")</f>
        <v/>
      </c>
      <c r="AC10" s="108" t="str">
        <f>IF(AND('Tube Cutting'!D19="4 Channel",'Tube Cutting'!E19="White"),2,"")</f>
        <v/>
      </c>
      <c r="AD10" s="108" t="str">
        <f>IF(AND('Tube Cutting'!D19="4 Channel",'Tube Cutting'!E19="Black"),2,"")</f>
        <v/>
      </c>
      <c r="AE10" s="108" t="str">
        <f>IF(AND('Tube Cutting'!D19="5 Channel",'Tube Cutting'!E19="Anodised Silver"),2,"")</f>
        <v/>
      </c>
      <c r="AF10" s="108" t="str">
        <f>IF(AND('Tube Cutting'!D19="5 Channel",'Tube Cutting'!E19="White"),2,"")</f>
        <v/>
      </c>
      <c r="AG10" s="108" t="str">
        <f>IF(AND('Tube Cutting'!D19="5 Channel",'Tube Cutting'!E19="Black"),2,"")</f>
        <v/>
      </c>
      <c r="AH10" s="108" t="str">
        <f>IF('Tube Cutting'!E19="Anodised Silver",K10*2,"")</f>
        <v/>
      </c>
      <c r="AI10" s="108" t="str">
        <f>IF('Tube Cutting'!E19="White",K10*2,"")</f>
        <v/>
      </c>
      <c r="AJ10" s="108" t="str">
        <f>IF('Tube Cutting'!E19="Black",K10*2,"")</f>
        <v/>
      </c>
      <c r="AK10" s="108" t="str">
        <f>IF('Tube Cutting'!K19="Anodised Silver",K10*2,"")</f>
        <v/>
      </c>
      <c r="AL10" s="108" t="str">
        <f>IF('Tube Cutting'!K19="White",K10*2,"")</f>
        <v/>
      </c>
      <c r="AM10" s="108" t="str">
        <f>IF('Tube Cutting'!K19="Black",K10*2,"")</f>
        <v/>
      </c>
      <c r="AN10" s="108" t="str">
        <f>IF('Tube Cutting'!K19="Cream",K10*2,"")</f>
        <v/>
      </c>
      <c r="AO10" s="108" t="str">
        <f>IF('Tube Cutting'!K19="Bone",K10*2,"")</f>
        <v/>
      </c>
      <c r="AP10" s="108" t="str">
        <f>IF(D10="","",VLOOKUP('Job Sheet'!O19,RollerCar,2,FALSE))</f>
        <v/>
      </c>
      <c r="AQ10" s="108" t="str">
        <f>IF(D10="","",VLOOKUP('Job Sheet'!O19,RollerCar,3,FALSE))</f>
        <v/>
      </c>
      <c r="AR10" s="108" t="str">
        <f>IF(D10="","",VLOOKUP('Job Sheet'!O19,RollerCar,4,FALSE))</f>
        <v/>
      </c>
      <c r="AS10" s="108" t="str">
        <f>Bagging!F18</f>
        <v/>
      </c>
      <c r="AT10" s="112" t="str">
        <f>Bagging!E18</f>
        <v/>
      </c>
      <c r="AU10" s="108" t="str">
        <f>IF(D10="","",'Tube Cutting'!F19*'Tube Cutting'!G19)</f>
        <v/>
      </c>
      <c r="AV10" s="108" t="str">
        <f>IF(D10="","",'Tube Cutting'!I19*'Tube Cutting'!F19)</f>
        <v/>
      </c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</row>
    <row r="11" spans="1:148" ht="13.2" customHeight="1">
      <c r="D11" s="21" t="str">
        <f>IF('Tube Cutting'!C20="","",CONCATENATE(Data!BC$5,".",Data!BD$5))</f>
        <v/>
      </c>
      <c r="E11" s="21" t="str">
        <f>IF(D11="","",Data!AW19)</f>
        <v/>
      </c>
      <c r="F11" s="21" t="str">
        <f>IF(D11="","",Data!AV19)</f>
        <v/>
      </c>
      <c r="G11" s="21" t="str">
        <f>IF(D11="","",Data!BF$5)</f>
        <v/>
      </c>
      <c r="H11" s="21" t="str">
        <f>IF(D11="","",Data!AX$5)</f>
        <v/>
      </c>
      <c r="I11" s="21" t="str">
        <f>'Job Sheet'!L20</f>
        <v/>
      </c>
      <c r="J11" s="111" t="str">
        <f t="shared" si="0"/>
        <v/>
      </c>
      <c r="K11" s="108" t="str">
        <f>'Job Sheet'!N20</f>
        <v/>
      </c>
      <c r="L11" s="112" t="str">
        <f>'Fabric Cutting'!G19</f>
        <v/>
      </c>
      <c r="M11" s="112" t="str">
        <f>'Fabric Cutting'!H19</f>
        <v/>
      </c>
      <c r="N11" s="112" t="str">
        <f>IF(AND('Tube Cutting'!D20="4 Channel",'Tube Cutting'!E20="Anodised Silver"),'Tube Cutting'!C20,"")</f>
        <v/>
      </c>
      <c r="O11" s="108" t="str">
        <f>IF(AND('Tube Cutting'!D20="4 Channel",'Tube Cutting'!E20="White"),'Tube Cutting'!C20,"")</f>
        <v/>
      </c>
      <c r="P11" s="112" t="str">
        <f>IF(AND('Tube Cutting'!D20="4 Channel",'Tube Cutting'!E20="Black"),'Tube Cutting'!C20,"")</f>
        <v/>
      </c>
      <c r="Q11" s="112" t="str">
        <f>IF(AND('Tube Cutting'!D20="5 Channel",'Tube Cutting'!E20="Anodised Silver"),'Tube Cutting'!C20,"")</f>
        <v/>
      </c>
      <c r="R11" s="112" t="str">
        <f>IF(AND('Tube Cutting'!D20="5 Channel",'Tube Cutting'!E20="White"),'Tube Cutting'!C20,"")</f>
        <v/>
      </c>
      <c r="S11" s="112" t="str">
        <f>IF(AND('Tube Cutting'!D20="5 Channel",'Tube Cutting'!E20="Black"),'Tube Cutting'!C20,"")</f>
        <v/>
      </c>
      <c r="T11" s="112" t="str">
        <f>IF('Tube Cutting'!E20="Anodised Silver",'Tube Cutting'!F20*'Tube Cutting'!G20,"")</f>
        <v/>
      </c>
      <c r="U11" s="112" t="str">
        <f>IF('Tube Cutting'!E20="White",'Tube Cutting'!F20*'Tube Cutting'!G20,"")</f>
        <v/>
      </c>
      <c r="V11" s="112" t="str">
        <f>IF('Tube Cutting'!E20="Black",'Tube Cutting'!F20*'Tube Cutting'!G20,"")</f>
        <v/>
      </c>
      <c r="W11" s="108" t="str">
        <f>IF('Tube Cutting'!K20="Anodised Silver",'Tube Cutting'!I20*'Tube Cutting'!F20,"")</f>
        <v/>
      </c>
      <c r="X11" s="108" t="str">
        <f>IF('Tube Cutting'!K20="White",'Tube Cutting'!I20*'Tube Cutting'!F20,"")</f>
        <v/>
      </c>
      <c r="Y11" s="108" t="str">
        <f>IF('Tube Cutting'!K20="Black",'Tube Cutting'!I20*'Tube Cutting'!F20,"")</f>
        <v/>
      </c>
      <c r="Z11" s="108" t="str">
        <f>IF('Tube Cutting'!K20="Cream",'Tube Cutting'!J20*'Tube Cutting'!G20,"")</f>
        <v/>
      </c>
      <c r="AA11" s="108" t="str">
        <f>IF('Tube Cutting'!K20="Bone",'Tube Cutting'!J20*'Tube Cutting'!G20,"")</f>
        <v/>
      </c>
      <c r="AB11" s="108" t="str">
        <f>IF(AND('Tube Cutting'!D20="4 Channel",'Tube Cutting'!E20="Anodised Silver"),2,"")</f>
        <v/>
      </c>
      <c r="AC11" s="108" t="str">
        <f>IF(AND('Tube Cutting'!D20="4 Channel",'Tube Cutting'!E20="White"),2,"")</f>
        <v/>
      </c>
      <c r="AD11" s="108" t="str">
        <f>IF(AND('Tube Cutting'!D20="4 Channel",'Tube Cutting'!E20="Black"),2,"")</f>
        <v/>
      </c>
      <c r="AE11" s="108" t="str">
        <f>IF(AND('Tube Cutting'!D20="5 Channel",'Tube Cutting'!E20="Anodised Silver"),2,"")</f>
        <v/>
      </c>
      <c r="AF11" s="108" t="str">
        <f>IF(AND('Tube Cutting'!D20="5 Channel",'Tube Cutting'!E20="White"),2,"")</f>
        <v/>
      </c>
      <c r="AG11" s="108" t="str">
        <f>IF(AND('Tube Cutting'!D20="5 Channel",'Tube Cutting'!E20="Black"),2,"")</f>
        <v/>
      </c>
      <c r="AH11" s="108" t="str">
        <f>IF('Tube Cutting'!E20="Anodised Silver",K11*2,"")</f>
        <v/>
      </c>
      <c r="AI11" s="108" t="str">
        <f>IF('Tube Cutting'!E20="White",K11*2,"")</f>
        <v/>
      </c>
      <c r="AJ11" s="108" t="str">
        <f>IF('Tube Cutting'!E20="Black",K11*2,"")</f>
        <v/>
      </c>
      <c r="AK11" s="108" t="str">
        <f>IF('Tube Cutting'!K20="Anodised Silver",K11*2,"")</f>
        <v/>
      </c>
      <c r="AL11" s="108" t="str">
        <f>IF('Tube Cutting'!K20="White",K11*2,"")</f>
        <v/>
      </c>
      <c r="AM11" s="108" t="str">
        <f>IF('Tube Cutting'!K20="Black",K11*2,"")</f>
        <v/>
      </c>
      <c r="AN11" s="108" t="str">
        <f>IF('Tube Cutting'!K20="Cream",K11*2,"")</f>
        <v/>
      </c>
      <c r="AO11" s="108" t="str">
        <f>IF('Tube Cutting'!K20="Bone",K11*2,"")</f>
        <v/>
      </c>
      <c r="AP11" s="108" t="str">
        <f>IF(D11="","",VLOOKUP('Job Sheet'!O20,RollerCar,2,FALSE))</f>
        <v/>
      </c>
      <c r="AQ11" s="108" t="str">
        <f>IF(D11="","",VLOOKUP('Job Sheet'!O20,RollerCar,3,FALSE))</f>
        <v/>
      </c>
      <c r="AR11" s="108" t="str">
        <f>IF(D11="","",VLOOKUP('Job Sheet'!O20,RollerCar,4,FALSE))</f>
        <v/>
      </c>
      <c r="AS11" s="108" t="str">
        <f>Bagging!F19</f>
        <v/>
      </c>
      <c r="AT11" s="112" t="str">
        <f>Bagging!E19</f>
        <v/>
      </c>
      <c r="AU11" s="108" t="str">
        <f>IF(D11="","",'Tube Cutting'!F20*'Tube Cutting'!G20)</f>
        <v/>
      </c>
      <c r="AV11" s="108" t="str">
        <f>IF(D11="","",'Tube Cutting'!I20*'Tube Cutting'!F20)</f>
        <v/>
      </c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</row>
    <row r="12" spans="1:148" s="110" customFormat="1" ht="13.2" customHeight="1">
      <c r="D12" s="109" t="str">
        <f>IF('Tube Cutting'!C21="","",CONCATENATE(Data!BC$5,".",Data!BD$5))</f>
        <v/>
      </c>
      <c r="E12" s="109" t="str">
        <f>IF(D12="","",Data!AW20)</f>
        <v/>
      </c>
      <c r="F12" s="109" t="str">
        <f>IF(D12="","",Data!AV20)</f>
        <v/>
      </c>
      <c r="G12" s="109" t="str">
        <f>IF(D12="","",Data!BF$5)</f>
        <v/>
      </c>
      <c r="H12" s="109" t="str">
        <f>IF(D12="","",Data!AX$5)</f>
        <v/>
      </c>
      <c r="I12" s="109" t="str">
        <f>'Job Sheet'!L21</f>
        <v/>
      </c>
      <c r="J12" s="113" t="str">
        <f t="shared" si="0"/>
        <v/>
      </c>
      <c r="K12" s="114" t="str">
        <f>'Job Sheet'!N21</f>
        <v/>
      </c>
      <c r="L12" s="115" t="str">
        <f>'Fabric Cutting'!G20</f>
        <v/>
      </c>
      <c r="M12" s="115" t="str">
        <f>'Fabric Cutting'!H20</f>
        <v/>
      </c>
      <c r="N12" s="115" t="str">
        <f>IF(AND('Tube Cutting'!D21="4 Channel",'Tube Cutting'!E21="Anodised Silver"),'Tube Cutting'!C21,"")</f>
        <v/>
      </c>
      <c r="O12" s="114" t="str">
        <f>IF(AND('Tube Cutting'!D21="4 Channel",'Tube Cutting'!E21="White"),'Tube Cutting'!C21,"")</f>
        <v/>
      </c>
      <c r="P12" s="115" t="str">
        <f>IF(AND('Tube Cutting'!D21="4 Channel",'Tube Cutting'!E21="Black"),'Tube Cutting'!C21,"")</f>
        <v/>
      </c>
      <c r="Q12" s="115" t="str">
        <f>IF(AND('Tube Cutting'!D21="5 Channel",'Tube Cutting'!E21="Anodised Silver"),'Tube Cutting'!C21,"")</f>
        <v/>
      </c>
      <c r="R12" s="115" t="str">
        <f>IF(AND('Tube Cutting'!D21="5 Channel",'Tube Cutting'!E21="White"),'Tube Cutting'!C21,"")</f>
        <v/>
      </c>
      <c r="S12" s="115" t="str">
        <f>IF(AND('Tube Cutting'!D21="5 Channel",'Tube Cutting'!E21="Black"),'Tube Cutting'!C21,"")</f>
        <v/>
      </c>
      <c r="T12" s="115" t="str">
        <f>IF('Tube Cutting'!E21="Anodised Silver",'Tube Cutting'!F21*'Tube Cutting'!G21,"")</f>
        <v/>
      </c>
      <c r="U12" s="115" t="str">
        <f>IF('Tube Cutting'!E21="White",'Tube Cutting'!F21*'Tube Cutting'!G21,"")</f>
        <v/>
      </c>
      <c r="V12" s="115" t="str">
        <f>IF('Tube Cutting'!E21="Black",'Tube Cutting'!F21*'Tube Cutting'!G21,"")</f>
        <v/>
      </c>
      <c r="W12" s="114" t="str">
        <f>IF('Tube Cutting'!K21="Anodised Silver",'Tube Cutting'!I21*'Tube Cutting'!F21,"")</f>
        <v/>
      </c>
      <c r="X12" s="114" t="str">
        <f>IF('Tube Cutting'!K21="White",'Tube Cutting'!I21*'Tube Cutting'!F21,"")</f>
        <v/>
      </c>
      <c r="Y12" s="114" t="str">
        <f>IF('Tube Cutting'!K21="Black",'Tube Cutting'!I21*'Tube Cutting'!F21,"")</f>
        <v/>
      </c>
      <c r="Z12" s="114" t="str">
        <f>IF('Tube Cutting'!K21="Cream",'Tube Cutting'!J21*'Tube Cutting'!G21,"")</f>
        <v/>
      </c>
      <c r="AA12" s="114" t="str">
        <f>IF('Tube Cutting'!K21="Bone",'Tube Cutting'!J21*'Tube Cutting'!G21,"")</f>
        <v/>
      </c>
      <c r="AB12" s="114" t="str">
        <f>IF(AND('Tube Cutting'!D21="4 Channel",'Tube Cutting'!E21="Anodised Silver"),2,"")</f>
        <v/>
      </c>
      <c r="AC12" s="114" t="str">
        <f>IF(AND('Tube Cutting'!D21="4 Channel",'Tube Cutting'!E21="White"),2,"")</f>
        <v/>
      </c>
      <c r="AD12" s="114" t="str">
        <f>IF(AND('Tube Cutting'!D21="4 Channel",'Tube Cutting'!E21="Black"),2,"")</f>
        <v/>
      </c>
      <c r="AE12" s="114" t="str">
        <f>IF(AND('Tube Cutting'!D21="5 Channel",'Tube Cutting'!E21="Anodised Silver"),2,"")</f>
        <v/>
      </c>
      <c r="AF12" s="114" t="str">
        <f>IF(AND('Tube Cutting'!D21="5 Channel",'Tube Cutting'!E21="White"),2,"")</f>
        <v/>
      </c>
      <c r="AG12" s="114" t="str">
        <f>IF(AND('Tube Cutting'!D21="5 Channel",'Tube Cutting'!E21="Black"),2,"")</f>
        <v/>
      </c>
      <c r="AH12" s="114" t="str">
        <f>IF('Tube Cutting'!E21="Anodised Silver",K12*2,"")</f>
        <v/>
      </c>
      <c r="AI12" s="114" t="str">
        <f>IF('Tube Cutting'!E21="White",K12*2,"")</f>
        <v/>
      </c>
      <c r="AJ12" s="114" t="str">
        <f>IF('Tube Cutting'!E21="Black",K12*2,"")</f>
        <v/>
      </c>
      <c r="AK12" s="114" t="str">
        <f>IF('Tube Cutting'!K21="Anodised Silver",K12*2,"")</f>
        <v/>
      </c>
      <c r="AL12" s="114" t="str">
        <f>IF('Tube Cutting'!K21="White",K12*2,"")</f>
        <v/>
      </c>
      <c r="AM12" s="114" t="str">
        <f>IF('Tube Cutting'!K21="Black",K12*2,"")</f>
        <v/>
      </c>
      <c r="AN12" s="114" t="str">
        <f>IF('Tube Cutting'!K21="Cream",K12*2,"")</f>
        <v/>
      </c>
      <c r="AO12" s="114" t="str">
        <f>IF('Tube Cutting'!K21="Bone",K12*2,"")</f>
        <v/>
      </c>
      <c r="AP12" s="114" t="str">
        <f>IF(D12="","",VLOOKUP('Job Sheet'!O21,RollerCar,2,FALSE))</f>
        <v/>
      </c>
      <c r="AQ12" s="114" t="str">
        <f>IF(D12="","",VLOOKUP('Job Sheet'!O21,RollerCar,3,FALSE))</f>
        <v/>
      </c>
      <c r="AR12" s="114" t="str">
        <f>IF(D12="","",VLOOKUP('Job Sheet'!O21,RollerCar,4,FALSE))</f>
        <v/>
      </c>
      <c r="AS12" s="114" t="str">
        <f>Bagging!F20</f>
        <v/>
      </c>
      <c r="AT12" s="115" t="str">
        <f>Bagging!E20</f>
        <v/>
      </c>
      <c r="AU12" s="114" t="str">
        <f>IF(D12="","",'Tube Cutting'!F21*'Tube Cutting'!G21)</f>
        <v/>
      </c>
      <c r="AV12" s="114" t="str">
        <f>IF(D12="","",'Tube Cutting'!I21*'Tube Cutting'!F21)</f>
        <v/>
      </c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09"/>
      <c r="CC12" s="109"/>
      <c r="CD12" s="109"/>
      <c r="CE12" s="109"/>
      <c r="CF12" s="109"/>
      <c r="CG12" s="109"/>
      <c r="CH12" s="109"/>
      <c r="CI12" s="109"/>
      <c r="CJ12" s="109"/>
      <c r="CK12" s="109"/>
      <c r="CL12" s="109"/>
      <c r="CM12" s="109"/>
      <c r="CN12" s="109"/>
      <c r="CO12" s="109"/>
      <c r="CP12" s="109"/>
      <c r="CQ12" s="109"/>
      <c r="CR12" s="109"/>
      <c r="CS12" s="109"/>
      <c r="CT12" s="109"/>
      <c r="CU12" s="109"/>
      <c r="CV12" s="109"/>
      <c r="CW12" s="109"/>
      <c r="CX12" s="109"/>
      <c r="CY12" s="109"/>
      <c r="CZ12" s="109"/>
      <c r="DA12" s="109"/>
      <c r="DB12" s="109"/>
      <c r="DC12" s="109"/>
      <c r="DD12" s="109"/>
      <c r="DE12" s="109"/>
      <c r="DF12" s="109"/>
      <c r="DG12" s="109"/>
      <c r="DH12" s="109"/>
      <c r="DI12" s="109"/>
      <c r="DJ12" s="109"/>
      <c r="DK12" s="109"/>
      <c r="DL12" s="109"/>
      <c r="DM12" s="109"/>
      <c r="DN12" s="109"/>
      <c r="DO12" s="109"/>
      <c r="DP12" s="109"/>
      <c r="DQ12" s="109"/>
      <c r="DR12" s="109"/>
      <c r="DS12" s="109"/>
      <c r="DT12" s="109"/>
      <c r="DU12" s="109"/>
      <c r="DV12" s="109"/>
      <c r="DW12" s="109"/>
      <c r="DX12" s="109"/>
      <c r="DY12" s="109"/>
      <c r="DZ12" s="109"/>
      <c r="EA12" s="109"/>
      <c r="EB12" s="109"/>
      <c r="EC12" s="109"/>
      <c r="ED12" s="109"/>
      <c r="EE12" s="109"/>
      <c r="EF12" s="109"/>
      <c r="EG12" s="109"/>
      <c r="EH12" s="109"/>
      <c r="EI12" s="109"/>
      <c r="EJ12" s="109"/>
      <c r="EK12" s="109"/>
    </row>
  </sheetData>
  <pageMargins left="0.72755905511811203" right="0.72755905511811203" top="0.75" bottom="0.75" header="0.3" footer="0.3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312BA-C56D-4066-B09E-51D4B042A2E0}">
  <sheetPr codeName="Sheet5"/>
  <dimension ref="A1:K1769"/>
  <sheetViews>
    <sheetView workbookViewId="0">
      <selection activeCell="G8" sqref="G8"/>
    </sheetView>
  </sheetViews>
  <sheetFormatPr defaultColWidth="9.109375" defaultRowHeight="13.2"/>
  <cols>
    <col min="1" max="1" width="65.6640625" bestFit="1" customWidth="1"/>
    <col min="2" max="2" width="10.33203125" customWidth="1"/>
    <col min="3" max="3" width="13" customWidth="1"/>
    <col min="4" max="4" width="13.6640625" bestFit="1" customWidth="1"/>
    <col min="5" max="5" width="11.6640625" bestFit="1" customWidth="1"/>
    <col min="6" max="6" width="12.33203125" bestFit="1" customWidth="1"/>
    <col min="7" max="7" width="12.109375" bestFit="1" customWidth="1"/>
    <col min="8" max="8" width="8.5546875" customWidth="1"/>
    <col min="9" max="9" width="8.33203125" customWidth="1"/>
    <col min="10" max="10" width="9.109375" customWidth="1"/>
    <col min="11" max="11" width="10.6640625" bestFit="1" customWidth="1"/>
  </cols>
  <sheetData>
    <row r="1" spans="1:11" ht="33.6" customHeight="1">
      <c r="A1" s="135" t="s">
        <v>529</v>
      </c>
      <c r="B1" s="135" t="s">
        <v>533</v>
      </c>
      <c r="C1" s="135" t="s">
        <v>530</v>
      </c>
      <c r="D1" s="135" t="s">
        <v>157</v>
      </c>
      <c r="E1" s="135" t="s">
        <v>531</v>
      </c>
      <c r="F1" s="135" t="s">
        <v>532</v>
      </c>
      <c r="G1" s="135" t="s">
        <v>534</v>
      </c>
      <c r="H1" s="135" t="s">
        <v>535</v>
      </c>
      <c r="I1" s="135" t="s">
        <v>536</v>
      </c>
      <c r="J1" s="135" t="s">
        <v>537</v>
      </c>
      <c r="K1" s="135" t="s">
        <v>141</v>
      </c>
    </row>
    <row r="2" spans="1:11">
      <c r="A2" t="s">
        <v>2113</v>
      </c>
      <c r="B2" t="b">
        <v>0</v>
      </c>
      <c r="H2" t="s">
        <v>302</v>
      </c>
      <c r="I2" t="s">
        <v>303</v>
      </c>
      <c r="J2" t="s">
        <v>304</v>
      </c>
    </row>
    <row r="3" spans="1:11" ht="13.2" customHeight="1">
      <c r="A3" t="s">
        <v>305</v>
      </c>
      <c r="B3" t="b">
        <v>0</v>
      </c>
      <c r="H3" t="s">
        <v>302</v>
      </c>
      <c r="I3" t="s">
        <v>303</v>
      </c>
      <c r="J3" t="s">
        <v>304</v>
      </c>
    </row>
    <row r="4" spans="1:11" ht="13.2" customHeight="1">
      <c r="A4" t="s">
        <v>306</v>
      </c>
      <c r="B4" t="b">
        <v>0</v>
      </c>
      <c r="H4" t="s">
        <v>302</v>
      </c>
      <c r="I4" t="s">
        <v>303</v>
      </c>
      <c r="J4" t="s">
        <v>304</v>
      </c>
    </row>
    <row r="5" spans="1:11" ht="13.2" customHeight="1">
      <c r="A5" t="s">
        <v>307</v>
      </c>
      <c r="B5" t="b">
        <v>0</v>
      </c>
      <c r="H5" t="s">
        <v>302</v>
      </c>
      <c r="I5" t="s">
        <v>303</v>
      </c>
      <c r="J5" t="s">
        <v>304</v>
      </c>
    </row>
    <row r="6" spans="1:11" ht="13.2" customHeight="1">
      <c r="A6" t="s">
        <v>308</v>
      </c>
      <c r="B6" t="b">
        <v>0</v>
      </c>
      <c r="H6" t="s">
        <v>302</v>
      </c>
      <c r="I6" t="s">
        <v>303</v>
      </c>
      <c r="J6" t="s">
        <v>304</v>
      </c>
    </row>
    <row r="7" spans="1:11" ht="13.2" customHeight="1">
      <c r="A7" t="s">
        <v>309</v>
      </c>
      <c r="B7" t="b">
        <v>0</v>
      </c>
      <c r="H7" t="s">
        <v>302</v>
      </c>
      <c r="I7" t="s">
        <v>303</v>
      </c>
      <c r="J7" t="s">
        <v>304</v>
      </c>
    </row>
    <row r="8" spans="1:11" ht="13.2" customHeight="1">
      <c r="A8" t="s">
        <v>310</v>
      </c>
      <c r="B8" t="b">
        <v>0</v>
      </c>
      <c r="H8" t="s">
        <v>302</v>
      </c>
      <c r="I8" t="s">
        <v>303</v>
      </c>
      <c r="J8" t="s">
        <v>304</v>
      </c>
    </row>
    <row r="9" spans="1:11" ht="13.2" customHeight="1">
      <c r="A9" t="s">
        <v>311</v>
      </c>
      <c r="B9" t="b">
        <v>0</v>
      </c>
      <c r="H9" t="s">
        <v>302</v>
      </c>
      <c r="I9" t="s">
        <v>303</v>
      </c>
      <c r="J9" t="s">
        <v>304</v>
      </c>
    </row>
    <row r="10" spans="1:11" ht="13.2" customHeight="1">
      <c r="A10" t="s">
        <v>312</v>
      </c>
      <c r="B10" t="b">
        <v>0</v>
      </c>
      <c r="H10" t="s">
        <v>302</v>
      </c>
      <c r="I10" t="s">
        <v>303</v>
      </c>
      <c r="J10" t="s">
        <v>304</v>
      </c>
    </row>
    <row r="11" spans="1:11" ht="13.2" customHeight="1">
      <c r="A11" t="s">
        <v>313</v>
      </c>
      <c r="B11" t="b">
        <v>0</v>
      </c>
      <c r="H11" t="s">
        <v>302</v>
      </c>
      <c r="I11" t="s">
        <v>303</v>
      </c>
      <c r="J11" t="s">
        <v>304</v>
      </c>
    </row>
    <row r="12" spans="1:11" ht="13.2" customHeight="1">
      <c r="A12" t="s">
        <v>314</v>
      </c>
      <c r="B12" t="b">
        <v>0</v>
      </c>
      <c r="H12" t="s">
        <v>302</v>
      </c>
      <c r="I12" t="s">
        <v>303</v>
      </c>
      <c r="J12" t="s">
        <v>304</v>
      </c>
    </row>
    <row r="13" spans="1:11">
      <c r="A13" t="s">
        <v>315</v>
      </c>
      <c r="B13" t="b">
        <v>0</v>
      </c>
      <c r="H13" t="s">
        <v>302</v>
      </c>
      <c r="I13" t="s">
        <v>303</v>
      </c>
      <c r="J13" t="s">
        <v>304</v>
      </c>
    </row>
    <row r="14" spans="1:11">
      <c r="A14" t="s">
        <v>316</v>
      </c>
      <c r="B14" t="b">
        <v>0</v>
      </c>
      <c r="H14" t="s">
        <v>302</v>
      </c>
      <c r="I14" t="s">
        <v>303</v>
      </c>
      <c r="J14" t="s">
        <v>304</v>
      </c>
    </row>
    <row r="15" spans="1:11">
      <c r="A15" t="s">
        <v>317</v>
      </c>
      <c r="B15" t="b">
        <v>0</v>
      </c>
      <c r="H15" t="s">
        <v>302</v>
      </c>
      <c r="I15" t="s">
        <v>303</v>
      </c>
      <c r="J15" t="s">
        <v>304</v>
      </c>
    </row>
    <row r="16" spans="1:11">
      <c r="A16" t="s">
        <v>318</v>
      </c>
      <c r="B16" t="b">
        <v>0</v>
      </c>
      <c r="H16" t="s">
        <v>302</v>
      </c>
      <c r="I16" t="s">
        <v>303</v>
      </c>
      <c r="J16" t="s">
        <v>304</v>
      </c>
    </row>
    <row r="17" spans="1:10">
      <c r="A17" t="s">
        <v>319</v>
      </c>
      <c r="B17" t="b">
        <v>0</v>
      </c>
      <c r="H17" t="s">
        <v>302</v>
      </c>
      <c r="I17" t="s">
        <v>303</v>
      </c>
      <c r="J17" t="s">
        <v>304</v>
      </c>
    </row>
    <row r="18" spans="1:10">
      <c r="A18" t="s">
        <v>320</v>
      </c>
      <c r="B18" t="b">
        <v>0</v>
      </c>
      <c r="H18" t="s">
        <v>302</v>
      </c>
      <c r="I18" t="s">
        <v>303</v>
      </c>
      <c r="J18" t="s">
        <v>304</v>
      </c>
    </row>
    <row r="19" spans="1:10">
      <c r="A19" t="s">
        <v>321</v>
      </c>
      <c r="B19" t="b">
        <v>0</v>
      </c>
      <c r="C19" t="s">
        <v>301</v>
      </c>
      <c r="D19" t="s">
        <v>322</v>
      </c>
      <c r="E19" t="s">
        <v>323</v>
      </c>
      <c r="F19" t="s">
        <v>324</v>
      </c>
      <c r="H19" t="s">
        <v>302</v>
      </c>
      <c r="I19" t="s">
        <v>303</v>
      </c>
      <c r="J19" t="s">
        <v>325</v>
      </c>
    </row>
    <row r="20" spans="1:10">
      <c r="A20" t="s">
        <v>326</v>
      </c>
      <c r="B20" t="b">
        <v>0</v>
      </c>
      <c r="H20" t="s">
        <v>302</v>
      </c>
      <c r="I20" t="s">
        <v>303</v>
      </c>
      <c r="J20" t="s">
        <v>325</v>
      </c>
    </row>
    <row r="21" spans="1:10">
      <c r="A21" t="s">
        <v>327</v>
      </c>
      <c r="B21" t="b">
        <v>0</v>
      </c>
      <c r="H21" t="s">
        <v>302</v>
      </c>
      <c r="I21" t="s">
        <v>303</v>
      </c>
      <c r="J21" t="s">
        <v>325</v>
      </c>
    </row>
    <row r="22" spans="1:10">
      <c r="A22" t="s">
        <v>328</v>
      </c>
      <c r="B22" t="b">
        <v>0</v>
      </c>
      <c r="H22" t="s">
        <v>302</v>
      </c>
      <c r="I22" t="s">
        <v>303</v>
      </c>
      <c r="J22" t="s">
        <v>325</v>
      </c>
    </row>
    <row r="23" spans="1:10">
      <c r="A23" t="s">
        <v>329</v>
      </c>
      <c r="B23" t="b">
        <v>0</v>
      </c>
      <c r="C23" t="s">
        <v>330</v>
      </c>
      <c r="D23" t="s">
        <v>322</v>
      </c>
      <c r="E23" t="s">
        <v>330</v>
      </c>
      <c r="F23" t="s">
        <v>331</v>
      </c>
      <c r="H23" t="s">
        <v>302</v>
      </c>
      <c r="I23" t="s">
        <v>303</v>
      </c>
      <c r="J23" t="s">
        <v>325</v>
      </c>
    </row>
    <row r="24" spans="1:10">
      <c r="A24" t="s">
        <v>332</v>
      </c>
      <c r="B24" t="b">
        <v>0</v>
      </c>
      <c r="H24" t="s">
        <v>302</v>
      </c>
      <c r="I24" t="s">
        <v>303</v>
      </c>
      <c r="J24" t="s">
        <v>325</v>
      </c>
    </row>
    <row r="25" spans="1:10">
      <c r="A25" t="s">
        <v>333</v>
      </c>
      <c r="B25" t="b">
        <v>0</v>
      </c>
      <c r="H25" t="s">
        <v>302</v>
      </c>
      <c r="I25" t="s">
        <v>303</v>
      </c>
      <c r="J25" t="s">
        <v>325</v>
      </c>
    </row>
    <row r="26" spans="1:10">
      <c r="A26" t="s">
        <v>334</v>
      </c>
      <c r="B26" t="b">
        <v>0</v>
      </c>
      <c r="H26" t="s">
        <v>302</v>
      </c>
      <c r="I26" t="s">
        <v>303</v>
      </c>
      <c r="J26" t="s">
        <v>325</v>
      </c>
    </row>
    <row r="27" spans="1:10">
      <c r="A27" t="s">
        <v>335</v>
      </c>
      <c r="B27" t="b">
        <v>0</v>
      </c>
      <c r="C27" t="s">
        <v>301</v>
      </c>
      <c r="D27" t="s">
        <v>322</v>
      </c>
      <c r="E27" t="s">
        <v>323</v>
      </c>
      <c r="F27" t="s">
        <v>336</v>
      </c>
      <c r="H27" t="s">
        <v>302</v>
      </c>
      <c r="I27" t="s">
        <v>303</v>
      </c>
      <c r="J27" t="s">
        <v>325</v>
      </c>
    </row>
    <row r="28" spans="1:10">
      <c r="A28" t="s">
        <v>337</v>
      </c>
      <c r="B28" t="b">
        <v>0</v>
      </c>
      <c r="C28" t="s">
        <v>301</v>
      </c>
      <c r="D28" t="s">
        <v>322</v>
      </c>
      <c r="E28" t="s">
        <v>323</v>
      </c>
      <c r="F28" t="s">
        <v>338</v>
      </c>
      <c r="H28" t="s">
        <v>302</v>
      </c>
      <c r="I28" t="s">
        <v>303</v>
      </c>
      <c r="J28" t="s">
        <v>325</v>
      </c>
    </row>
    <row r="29" spans="1:10">
      <c r="A29" t="s">
        <v>339</v>
      </c>
      <c r="B29" t="b">
        <v>0</v>
      </c>
      <c r="C29" t="s">
        <v>340</v>
      </c>
      <c r="D29" t="s">
        <v>340</v>
      </c>
      <c r="E29" t="s">
        <v>340</v>
      </c>
      <c r="F29" t="s">
        <v>341</v>
      </c>
      <c r="H29" t="s">
        <v>302</v>
      </c>
      <c r="I29" t="s">
        <v>303</v>
      </c>
      <c r="J29" t="s">
        <v>325</v>
      </c>
    </row>
    <row r="30" spans="1:10">
      <c r="A30" t="s">
        <v>342</v>
      </c>
      <c r="B30" t="b">
        <v>0</v>
      </c>
      <c r="H30" t="s">
        <v>302</v>
      </c>
      <c r="I30" t="s">
        <v>303</v>
      </c>
      <c r="J30" t="s">
        <v>325</v>
      </c>
    </row>
    <row r="31" spans="1:10">
      <c r="A31" t="s">
        <v>343</v>
      </c>
      <c r="B31" t="b">
        <v>0</v>
      </c>
      <c r="C31" t="s">
        <v>301</v>
      </c>
      <c r="D31" t="s">
        <v>322</v>
      </c>
      <c r="E31" t="s">
        <v>323</v>
      </c>
      <c r="F31" t="s">
        <v>338</v>
      </c>
      <c r="H31" t="s">
        <v>302</v>
      </c>
      <c r="I31" t="s">
        <v>303</v>
      </c>
      <c r="J31" t="s">
        <v>325</v>
      </c>
    </row>
    <row r="32" spans="1:10">
      <c r="A32" t="s">
        <v>344</v>
      </c>
      <c r="B32" t="b">
        <v>0</v>
      </c>
      <c r="C32" t="s">
        <v>301</v>
      </c>
      <c r="D32" t="s">
        <v>322</v>
      </c>
      <c r="E32" t="s">
        <v>323</v>
      </c>
      <c r="F32" t="s">
        <v>345</v>
      </c>
      <c r="H32" t="s">
        <v>302</v>
      </c>
      <c r="I32" t="s">
        <v>303</v>
      </c>
      <c r="J32" t="s">
        <v>325</v>
      </c>
    </row>
    <row r="33" spans="1:10">
      <c r="A33" t="s">
        <v>346</v>
      </c>
      <c r="B33" t="b">
        <v>0</v>
      </c>
      <c r="C33" t="s">
        <v>301</v>
      </c>
      <c r="D33" t="s">
        <v>301</v>
      </c>
      <c r="E33" t="s">
        <v>301</v>
      </c>
      <c r="F33" t="s">
        <v>336</v>
      </c>
      <c r="H33" t="s">
        <v>302</v>
      </c>
      <c r="I33" t="s">
        <v>303</v>
      </c>
      <c r="J33" t="s">
        <v>325</v>
      </c>
    </row>
    <row r="34" spans="1:10">
      <c r="A34" t="s">
        <v>347</v>
      </c>
      <c r="B34" t="b">
        <v>0</v>
      </c>
      <c r="H34" t="s">
        <v>302</v>
      </c>
      <c r="I34" t="s">
        <v>303</v>
      </c>
      <c r="J34" t="s">
        <v>325</v>
      </c>
    </row>
    <row r="35" spans="1:10">
      <c r="A35" t="s">
        <v>348</v>
      </c>
      <c r="B35" t="b">
        <v>0</v>
      </c>
      <c r="C35" t="s">
        <v>301</v>
      </c>
      <c r="D35" t="s">
        <v>322</v>
      </c>
      <c r="E35" t="s">
        <v>323</v>
      </c>
      <c r="F35" t="s">
        <v>349</v>
      </c>
      <c r="H35" t="s">
        <v>302</v>
      </c>
      <c r="I35" t="s">
        <v>303</v>
      </c>
      <c r="J35" t="s">
        <v>325</v>
      </c>
    </row>
    <row r="36" spans="1:10">
      <c r="A36" t="s">
        <v>350</v>
      </c>
      <c r="B36" t="b">
        <v>0</v>
      </c>
      <c r="H36" t="s">
        <v>302</v>
      </c>
      <c r="I36" t="s">
        <v>303</v>
      </c>
      <c r="J36" t="s">
        <v>325</v>
      </c>
    </row>
    <row r="37" spans="1:10">
      <c r="A37" t="s">
        <v>351</v>
      </c>
      <c r="B37" t="b">
        <v>0</v>
      </c>
      <c r="H37" t="s">
        <v>302</v>
      </c>
      <c r="I37" t="s">
        <v>303</v>
      </c>
      <c r="J37" t="s">
        <v>325</v>
      </c>
    </row>
    <row r="38" spans="1:10">
      <c r="A38" t="s">
        <v>352</v>
      </c>
      <c r="B38" t="b">
        <v>0</v>
      </c>
      <c r="C38" t="s">
        <v>353</v>
      </c>
      <c r="D38" t="s">
        <v>354</v>
      </c>
      <c r="E38" t="s">
        <v>353</v>
      </c>
      <c r="F38" t="s">
        <v>338</v>
      </c>
      <c r="H38" t="s">
        <v>302</v>
      </c>
      <c r="I38" t="s">
        <v>303</v>
      </c>
      <c r="J38" t="s">
        <v>325</v>
      </c>
    </row>
    <row r="39" spans="1:10">
      <c r="A39" t="s">
        <v>355</v>
      </c>
      <c r="B39" t="b">
        <v>0</v>
      </c>
      <c r="C39" t="s">
        <v>301</v>
      </c>
      <c r="D39" t="s">
        <v>322</v>
      </c>
      <c r="E39" t="s">
        <v>323</v>
      </c>
      <c r="F39" t="s">
        <v>345</v>
      </c>
      <c r="H39" t="s">
        <v>302</v>
      </c>
      <c r="I39" t="s">
        <v>303</v>
      </c>
      <c r="J39" t="s">
        <v>325</v>
      </c>
    </row>
    <row r="40" spans="1:10">
      <c r="A40" t="s">
        <v>356</v>
      </c>
      <c r="B40" t="b">
        <v>0</v>
      </c>
      <c r="C40" t="s">
        <v>301</v>
      </c>
      <c r="D40" t="s">
        <v>322</v>
      </c>
      <c r="E40" t="s">
        <v>323</v>
      </c>
      <c r="F40" t="s">
        <v>338</v>
      </c>
      <c r="H40" t="s">
        <v>302</v>
      </c>
      <c r="I40" t="s">
        <v>303</v>
      </c>
      <c r="J40" t="s">
        <v>325</v>
      </c>
    </row>
    <row r="41" spans="1:10">
      <c r="A41" t="s">
        <v>357</v>
      </c>
      <c r="B41" t="b">
        <v>0</v>
      </c>
      <c r="C41" t="s">
        <v>301</v>
      </c>
      <c r="D41" t="s">
        <v>322</v>
      </c>
      <c r="E41" t="s">
        <v>323</v>
      </c>
      <c r="F41" t="s">
        <v>338</v>
      </c>
      <c r="H41" t="s">
        <v>302</v>
      </c>
      <c r="I41" t="s">
        <v>303</v>
      </c>
      <c r="J41" t="s">
        <v>325</v>
      </c>
    </row>
    <row r="42" spans="1:10">
      <c r="A42" t="s">
        <v>358</v>
      </c>
      <c r="B42" t="b">
        <v>0</v>
      </c>
      <c r="C42" t="s">
        <v>301</v>
      </c>
      <c r="D42" t="s">
        <v>322</v>
      </c>
      <c r="E42" t="s">
        <v>323</v>
      </c>
      <c r="F42" t="s">
        <v>324</v>
      </c>
      <c r="H42" t="s">
        <v>302</v>
      </c>
      <c r="I42" t="s">
        <v>303</v>
      </c>
      <c r="J42" t="s">
        <v>325</v>
      </c>
    </row>
    <row r="43" spans="1:10">
      <c r="A43" t="s">
        <v>359</v>
      </c>
      <c r="B43" t="b">
        <v>0</v>
      </c>
      <c r="C43" t="s">
        <v>301</v>
      </c>
      <c r="D43" t="s">
        <v>322</v>
      </c>
      <c r="E43" t="s">
        <v>323</v>
      </c>
      <c r="F43" t="s">
        <v>338</v>
      </c>
      <c r="H43" t="s">
        <v>302</v>
      </c>
      <c r="I43" t="s">
        <v>303</v>
      </c>
      <c r="J43" t="s">
        <v>325</v>
      </c>
    </row>
    <row r="44" spans="1:10">
      <c r="A44" t="s">
        <v>360</v>
      </c>
      <c r="B44" t="b">
        <v>0</v>
      </c>
      <c r="C44" t="s">
        <v>301</v>
      </c>
      <c r="D44" t="s">
        <v>322</v>
      </c>
      <c r="E44" t="s">
        <v>323</v>
      </c>
      <c r="F44" t="s">
        <v>338</v>
      </c>
      <c r="H44" t="s">
        <v>302</v>
      </c>
      <c r="I44" t="s">
        <v>303</v>
      </c>
      <c r="J44" t="s">
        <v>325</v>
      </c>
    </row>
    <row r="45" spans="1:10">
      <c r="A45" t="s">
        <v>361</v>
      </c>
      <c r="B45" t="b">
        <v>0</v>
      </c>
      <c r="H45" t="s">
        <v>302</v>
      </c>
      <c r="I45" t="s">
        <v>303</v>
      </c>
      <c r="J45" t="s">
        <v>325</v>
      </c>
    </row>
    <row r="46" spans="1:10">
      <c r="A46" t="s">
        <v>362</v>
      </c>
      <c r="B46" t="b">
        <v>0</v>
      </c>
      <c r="H46" t="s">
        <v>302</v>
      </c>
      <c r="I46" t="s">
        <v>303</v>
      </c>
      <c r="J46" t="s">
        <v>325</v>
      </c>
    </row>
    <row r="47" spans="1:10">
      <c r="A47" t="s">
        <v>363</v>
      </c>
      <c r="B47" t="b">
        <v>0</v>
      </c>
      <c r="C47" t="s">
        <v>301</v>
      </c>
      <c r="D47" t="s">
        <v>301</v>
      </c>
      <c r="E47" t="s">
        <v>301</v>
      </c>
      <c r="F47" t="s">
        <v>336</v>
      </c>
      <c r="H47" t="s">
        <v>302</v>
      </c>
      <c r="I47" t="s">
        <v>303</v>
      </c>
      <c r="J47" t="s">
        <v>325</v>
      </c>
    </row>
    <row r="48" spans="1:10">
      <c r="A48" t="s">
        <v>364</v>
      </c>
      <c r="B48" t="b">
        <v>0</v>
      </c>
      <c r="H48" t="s">
        <v>302</v>
      </c>
      <c r="I48" t="s">
        <v>303</v>
      </c>
      <c r="J48" t="s">
        <v>325</v>
      </c>
    </row>
    <row r="49" spans="1:11">
      <c r="A49" t="s">
        <v>365</v>
      </c>
      <c r="B49" t="b">
        <v>0</v>
      </c>
      <c r="H49" t="s">
        <v>302</v>
      </c>
      <c r="I49" t="s">
        <v>303</v>
      </c>
      <c r="J49" t="s">
        <v>325</v>
      </c>
    </row>
    <row r="50" spans="1:11">
      <c r="A50" t="s">
        <v>366</v>
      </c>
      <c r="B50" t="b">
        <v>0</v>
      </c>
      <c r="C50" t="s">
        <v>330</v>
      </c>
      <c r="D50" t="s">
        <v>322</v>
      </c>
      <c r="E50" t="s">
        <v>323</v>
      </c>
      <c r="F50" t="s">
        <v>338</v>
      </c>
      <c r="H50" t="s">
        <v>302</v>
      </c>
      <c r="I50" t="s">
        <v>303</v>
      </c>
      <c r="J50" t="s">
        <v>325</v>
      </c>
    </row>
    <row r="51" spans="1:11">
      <c r="A51" t="s">
        <v>367</v>
      </c>
      <c r="B51" t="b">
        <v>0</v>
      </c>
      <c r="H51" t="s">
        <v>302</v>
      </c>
      <c r="I51" t="s">
        <v>303</v>
      </c>
      <c r="J51" t="s">
        <v>325</v>
      </c>
    </row>
    <row r="52" spans="1:11">
      <c r="A52" t="s">
        <v>368</v>
      </c>
      <c r="B52" t="b">
        <v>0</v>
      </c>
      <c r="H52" t="s">
        <v>302</v>
      </c>
      <c r="I52" t="s">
        <v>303</v>
      </c>
      <c r="J52" t="s">
        <v>325</v>
      </c>
    </row>
    <row r="53" spans="1:11">
      <c r="A53" t="s">
        <v>369</v>
      </c>
      <c r="B53" t="b">
        <v>0</v>
      </c>
      <c r="H53" t="s">
        <v>302</v>
      </c>
      <c r="I53" t="s">
        <v>303</v>
      </c>
      <c r="J53" t="s">
        <v>325</v>
      </c>
    </row>
    <row r="54" spans="1:11">
      <c r="A54" t="s">
        <v>370</v>
      </c>
      <c r="B54" t="b">
        <v>0</v>
      </c>
      <c r="H54" t="s">
        <v>302</v>
      </c>
      <c r="I54" t="s">
        <v>303</v>
      </c>
      <c r="J54" t="s">
        <v>325</v>
      </c>
    </row>
    <row r="55" spans="1:11">
      <c r="A55" t="s">
        <v>371</v>
      </c>
      <c r="B55" t="b">
        <v>0</v>
      </c>
      <c r="H55" t="s">
        <v>302</v>
      </c>
      <c r="I55" t="s">
        <v>303</v>
      </c>
      <c r="J55" t="s">
        <v>325</v>
      </c>
    </row>
    <row r="56" spans="1:11">
      <c r="A56" t="s">
        <v>372</v>
      </c>
      <c r="B56" t="b">
        <v>0</v>
      </c>
      <c r="H56" t="s">
        <v>302</v>
      </c>
      <c r="I56" t="s">
        <v>303</v>
      </c>
      <c r="J56" t="s">
        <v>325</v>
      </c>
    </row>
    <row r="57" spans="1:11">
      <c r="A57" t="s">
        <v>373</v>
      </c>
      <c r="B57" t="b">
        <v>0</v>
      </c>
      <c r="H57" t="s">
        <v>302</v>
      </c>
      <c r="I57" t="s">
        <v>303</v>
      </c>
      <c r="J57" t="s">
        <v>325</v>
      </c>
    </row>
    <row r="58" spans="1:11">
      <c r="A58" t="s">
        <v>374</v>
      </c>
      <c r="B58" t="b">
        <v>0</v>
      </c>
      <c r="C58" t="s">
        <v>301</v>
      </c>
      <c r="D58" t="s">
        <v>322</v>
      </c>
      <c r="E58" t="s">
        <v>323</v>
      </c>
      <c r="F58" t="s">
        <v>338</v>
      </c>
      <c r="H58" t="s">
        <v>302</v>
      </c>
      <c r="I58" t="s">
        <v>303</v>
      </c>
      <c r="J58" t="s">
        <v>325</v>
      </c>
    </row>
    <row r="59" spans="1:11">
      <c r="A59" t="s">
        <v>375</v>
      </c>
      <c r="B59" t="b">
        <v>1</v>
      </c>
      <c r="C59" t="s">
        <v>376</v>
      </c>
      <c r="D59" t="s">
        <v>322</v>
      </c>
      <c r="E59" t="s">
        <v>376</v>
      </c>
      <c r="F59" t="s">
        <v>349</v>
      </c>
      <c r="H59" t="s">
        <v>301</v>
      </c>
      <c r="I59" t="s">
        <v>303</v>
      </c>
      <c r="J59" t="s">
        <v>377</v>
      </c>
      <c r="K59" t="s">
        <v>2114</v>
      </c>
    </row>
    <row r="60" spans="1:11">
      <c r="A60" t="s">
        <v>378</v>
      </c>
      <c r="B60" t="b">
        <v>1</v>
      </c>
      <c r="C60" t="s">
        <v>301</v>
      </c>
      <c r="D60" t="s">
        <v>301</v>
      </c>
      <c r="E60" t="s">
        <v>301</v>
      </c>
      <c r="F60" t="s">
        <v>324</v>
      </c>
      <c r="H60" t="s">
        <v>301</v>
      </c>
      <c r="I60" t="s">
        <v>303</v>
      </c>
      <c r="J60" t="s">
        <v>377</v>
      </c>
      <c r="K60" t="s">
        <v>2114</v>
      </c>
    </row>
    <row r="61" spans="1:11">
      <c r="A61" t="s">
        <v>379</v>
      </c>
      <c r="B61" t="b">
        <v>1</v>
      </c>
      <c r="C61" t="s">
        <v>376</v>
      </c>
      <c r="D61" t="s">
        <v>322</v>
      </c>
      <c r="E61" t="s">
        <v>376</v>
      </c>
      <c r="H61" t="s">
        <v>301</v>
      </c>
      <c r="I61" t="s">
        <v>303</v>
      </c>
      <c r="J61" t="s">
        <v>377</v>
      </c>
      <c r="K61" t="s">
        <v>2114</v>
      </c>
    </row>
    <row r="62" spans="1:11">
      <c r="A62" t="s">
        <v>380</v>
      </c>
      <c r="B62" t="b">
        <v>1</v>
      </c>
      <c r="C62" t="s">
        <v>340</v>
      </c>
      <c r="D62" t="s">
        <v>340</v>
      </c>
      <c r="E62" t="s">
        <v>340</v>
      </c>
      <c r="F62" t="s">
        <v>341</v>
      </c>
      <c r="G62" t="s">
        <v>381</v>
      </c>
      <c r="H62" t="s">
        <v>340</v>
      </c>
      <c r="I62" t="s">
        <v>303</v>
      </c>
      <c r="J62" t="s">
        <v>377</v>
      </c>
      <c r="K62" t="s">
        <v>2114</v>
      </c>
    </row>
    <row r="63" spans="1:11">
      <c r="A63" t="s">
        <v>382</v>
      </c>
      <c r="B63" t="b">
        <v>1</v>
      </c>
      <c r="C63" t="s">
        <v>301</v>
      </c>
      <c r="D63" t="s">
        <v>322</v>
      </c>
      <c r="E63" t="s">
        <v>323</v>
      </c>
      <c r="F63" t="s">
        <v>324</v>
      </c>
      <c r="H63" t="s">
        <v>301</v>
      </c>
      <c r="I63" t="s">
        <v>303</v>
      </c>
      <c r="J63" t="s">
        <v>377</v>
      </c>
      <c r="K63" t="s">
        <v>2114</v>
      </c>
    </row>
    <row r="64" spans="1:11">
      <c r="A64" t="s">
        <v>383</v>
      </c>
      <c r="B64" t="b">
        <v>1</v>
      </c>
      <c r="C64" t="s">
        <v>340</v>
      </c>
      <c r="D64" t="s">
        <v>340</v>
      </c>
      <c r="E64" t="s">
        <v>340</v>
      </c>
      <c r="F64" t="s">
        <v>341</v>
      </c>
      <c r="H64" t="s">
        <v>340</v>
      </c>
      <c r="I64" t="s">
        <v>303</v>
      </c>
      <c r="J64" t="s">
        <v>377</v>
      </c>
      <c r="K64" t="s">
        <v>2114</v>
      </c>
    </row>
    <row r="65" spans="1:11">
      <c r="A65" t="s">
        <v>384</v>
      </c>
      <c r="B65" t="b">
        <v>1</v>
      </c>
      <c r="C65" t="s">
        <v>340</v>
      </c>
      <c r="D65" t="s">
        <v>340</v>
      </c>
      <c r="E65" t="s">
        <v>340</v>
      </c>
      <c r="F65" t="s">
        <v>385</v>
      </c>
      <c r="G65" t="s">
        <v>381</v>
      </c>
      <c r="H65" t="s">
        <v>340</v>
      </c>
      <c r="I65" t="s">
        <v>303</v>
      </c>
      <c r="J65" t="s">
        <v>377</v>
      </c>
      <c r="K65" t="s">
        <v>2114</v>
      </c>
    </row>
    <row r="66" spans="1:11">
      <c r="A66" t="s">
        <v>386</v>
      </c>
      <c r="B66" t="b">
        <v>1</v>
      </c>
      <c r="C66" t="s">
        <v>376</v>
      </c>
      <c r="D66" t="s">
        <v>322</v>
      </c>
      <c r="E66" t="s">
        <v>376</v>
      </c>
      <c r="H66" t="s">
        <v>301</v>
      </c>
      <c r="I66" t="s">
        <v>303</v>
      </c>
      <c r="J66" t="s">
        <v>377</v>
      </c>
      <c r="K66" t="s">
        <v>2114</v>
      </c>
    </row>
    <row r="67" spans="1:11">
      <c r="A67" t="s">
        <v>387</v>
      </c>
      <c r="B67" t="b">
        <v>1</v>
      </c>
      <c r="C67" t="s">
        <v>376</v>
      </c>
      <c r="D67" t="s">
        <v>322</v>
      </c>
      <c r="E67" t="s">
        <v>376</v>
      </c>
      <c r="F67" t="s">
        <v>345</v>
      </c>
      <c r="G67" t="s">
        <v>301</v>
      </c>
      <c r="H67" t="s">
        <v>301</v>
      </c>
      <c r="I67" t="s">
        <v>303</v>
      </c>
      <c r="J67" t="s">
        <v>377</v>
      </c>
      <c r="K67" t="s">
        <v>2114</v>
      </c>
    </row>
    <row r="68" spans="1:11">
      <c r="A68" t="s">
        <v>388</v>
      </c>
      <c r="B68" t="b">
        <v>1</v>
      </c>
      <c r="C68" t="s">
        <v>301</v>
      </c>
      <c r="D68" t="s">
        <v>389</v>
      </c>
      <c r="E68" t="s">
        <v>323</v>
      </c>
      <c r="F68" t="s">
        <v>324</v>
      </c>
      <c r="H68" t="s">
        <v>301</v>
      </c>
      <c r="I68" t="s">
        <v>303</v>
      </c>
      <c r="J68" t="s">
        <v>377</v>
      </c>
      <c r="K68" t="s">
        <v>2114</v>
      </c>
    </row>
    <row r="69" spans="1:11">
      <c r="A69" t="s">
        <v>390</v>
      </c>
      <c r="B69" t="b">
        <v>0</v>
      </c>
      <c r="H69" t="s">
        <v>302</v>
      </c>
      <c r="I69" t="s">
        <v>303</v>
      </c>
      <c r="J69" t="s">
        <v>377</v>
      </c>
      <c r="K69" t="s">
        <v>2114</v>
      </c>
    </row>
    <row r="70" spans="1:11">
      <c r="A70" t="s">
        <v>391</v>
      </c>
      <c r="B70" t="b">
        <v>1</v>
      </c>
      <c r="C70" t="s">
        <v>376</v>
      </c>
      <c r="D70" t="s">
        <v>340</v>
      </c>
      <c r="E70" t="s">
        <v>376</v>
      </c>
      <c r="F70" t="s">
        <v>349</v>
      </c>
      <c r="H70" t="s">
        <v>302</v>
      </c>
      <c r="I70" t="s">
        <v>303</v>
      </c>
      <c r="J70" t="s">
        <v>377</v>
      </c>
      <c r="K70" t="s">
        <v>2114</v>
      </c>
    </row>
    <row r="71" spans="1:11">
      <c r="A71" t="s">
        <v>392</v>
      </c>
      <c r="B71" t="b">
        <v>1</v>
      </c>
      <c r="C71" t="s">
        <v>301</v>
      </c>
      <c r="D71" t="s">
        <v>301</v>
      </c>
      <c r="E71" t="s">
        <v>301</v>
      </c>
      <c r="F71" t="s">
        <v>336</v>
      </c>
      <c r="H71" t="s">
        <v>301</v>
      </c>
      <c r="I71" t="s">
        <v>303</v>
      </c>
      <c r="J71" t="s">
        <v>377</v>
      </c>
      <c r="K71" t="s">
        <v>2114</v>
      </c>
    </row>
    <row r="72" spans="1:11">
      <c r="A72" t="s">
        <v>393</v>
      </c>
      <c r="B72" t="b">
        <v>1</v>
      </c>
      <c r="C72" t="s">
        <v>301</v>
      </c>
      <c r="D72" t="s">
        <v>301</v>
      </c>
      <c r="E72" t="s">
        <v>301</v>
      </c>
      <c r="H72" t="s">
        <v>301</v>
      </c>
      <c r="I72" t="s">
        <v>303</v>
      </c>
      <c r="J72" t="s">
        <v>377</v>
      </c>
      <c r="K72" t="s">
        <v>2114</v>
      </c>
    </row>
    <row r="73" spans="1:11">
      <c r="A73" t="s">
        <v>394</v>
      </c>
      <c r="B73" t="b">
        <v>1</v>
      </c>
      <c r="C73" t="s">
        <v>353</v>
      </c>
      <c r="D73" t="s">
        <v>354</v>
      </c>
      <c r="E73" t="s">
        <v>353</v>
      </c>
      <c r="H73" t="s">
        <v>301</v>
      </c>
      <c r="I73" t="s">
        <v>303</v>
      </c>
      <c r="J73" t="s">
        <v>377</v>
      </c>
      <c r="K73" t="s">
        <v>2114</v>
      </c>
    </row>
    <row r="74" spans="1:11">
      <c r="A74" t="s">
        <v>395</v>
      </c>
      <c r="B74" t="b">
        <v>1</v>
      </c>
      <c r="C74" t="s">
        <v>376</v>
      </c>
      <c r="D74" t="s">
        <v>322</v>
      </c>
      <c r="E74" t="s">
        <v>376</v>
      </c>
      <c r="H74" t="s">
        <v>301</v>
      </c>
      <c r="I74" t="s">
        <v>303</v>
      </c>
      <c r="J74" t="s">
        <v>377</v>
      </c>
      <c r="K74" t="s">
        <v>2114</v>
      </c>
    </row>
    <row r="75" spans="1:11">
      <c r="A75" t="s">
        <v>396</v>
      </c>
      <c r="B75" t="b">
        <v>1</v>
      </c>
      <c r="C75" t="s">
        <v>376</v>
      </c>
      <c r="D75" t="s">
        <v>322</v>
      </c>
      <c r="E75" t="s">
        <v>376</v>
      </c>
      <c r="H75" t="s">
        <v>301</v>
      </c>
      <c r="I75" t="s">
        <v>303</v>
      </c>
      <c r="J75" t="s">
        <v>377</v>
      </c>
      <c r="K75" t="s">
        <v>2114</v>
      </c>
    </row>
    <row r="76" spans="1:11">
      <c r="A76" t="s">
        <v>397</v>
      </c>
      <c r="B76" t="b">
        <v>1</v>
      </c>
      <c r="C76" t="s">
        <v>340</v>
      </c>
      <c r="D76" t="s">
        <v>340</v>
      </c>
      <c r="E76" t="s">
        <v>340</v>
      </c>
      <c r="H76" t="s">
        <v>302</v>
      </c>
      <c r="I76" t="s">
        <v>303</v>
      </c>
      <c r="J76" t="s">
        <v>377</v>
      </c>
      <c r="K76" t="s">
        <v>2114</v>
      </c>
    </row>
    <row r="77" spans="1:11">
      <c r="A77" t="s">
        <v>398</v>
      </c>
      <c r="B77" t="b">
        <v>1</v>
      </c>
      <c r="C77" t="s">
        <v>340</v>
      </c>
      <c r="D77" t="s">
        <v>340</v>
      </c>
      <c r="E77" t="s">
        <v>340</v>
      </c>
      <c r="H77" t="s">
        <v>340</v>
      </c>
      <c r="I77" t="s">
        <v>303</v>
      </c>
      <c r="J77" t="s">
        <v>377</v>
      </c>
      <c r="K77" t="s">
        <v>2114</v>
      </c>
    </row>
    <row r="78" spans="1:11">
      <c r="A78" t="s">
        <v>399</v>
      </c>
      <c r="B78" t="b">
        <v>0</v>
      </c>
      <c r="C78" t="s">
        <v>301</v>
      </c>
      <c r="D78" t="s">
        <v>322</v>
      </c>
      <c r="E78" t="s">
        <v>323</v>
      </c>
      <c r="H78" t="s">
        <v>301</v>
      </c>
      <c r="I78" t="s">
        <v>303</v>
      </c>
      <c r="J78" t="s">
        <v>752</v>
      </c>
      <c r="K78" t="s">
        <v>2115</v>
      </c>
    </row>
    <row r="79" spans="1:11">
      <c r="A79" t="s">
        <v>400</v>
      </c>
      <c r="B79" t="b">
        <v>0</v>
      </c>
      <c r="C79" t="s">
        <v>353</v>
      </c>
      <c r="D79" t="s">
        <v>354</v>
      </c>
      <c r="E79" t="s">
        <v>353</v>
      </c>
      <c r="H79" t="s">
        <v>301</v>
      </c>
      <c r="I79" t="s">
        <v>303</v>
      </c>
      <c r="J79" t="s">
        <v>752</v>
      </c>
      <c r="K79" t="s">
        <v>2115</v>
      </c>
    </row>
    <row r="80" spans="1:11">
      <c r="A80" t="s">
        <v>401</v>
      </c>
      <c r="B80" t="b">
        <v>0</v>
      </c>
      <c r="C80" t="s">
        <v>301</v>
      </c>
      <c r="D80" t="s">
        <v>322</v>
      </c>
      <c r="E80" t="s">
        <v>323</v>
      </c>
      <c r="H80" t="s">
        <v>301</v>
      </c>
      <c r="I80" t="s">
        <v>303</v>
      </c>
      <c r="J80" t="s">
        <v>752</v>
      </c>
      <c r="K80" t="s">
        <v>2115</v>
      </c>
    </row>
    <row r="81" spans="1:11">
      <c r="A81" t="s">
        <v>402</v>
      </c>
      <c r="B81" t="b">
        <v>0</v>
      </c>
      <c r="C81" t="s">
        <v>301</v>
      </c>
      <c r="D81" t="s">
        <v>322</v>
      </c>
      <c r="E81" t="s">
        <v>323</v>
      </c>
      <c r="H81" t="s">
        <v>301</v>
      </c>
      <c r="I81" t="s">
        <v>303</v>
      </c>
      <c r="J81" t="s">
        <v>752</v>
      </c>
      <c r="K81" t="s">
        <v>2115</v>
      </c>
    </row>
    <row r="82" spans="1:11">
      <c r="A82" t="s">
        <v>403</v>
      </c>
      <c r="B82" t="b">
        <v>0</v>
      </c>
      <c r="C82" t="s">
        <v>301</v>
      </c>
      <c r="D82" t="s">
        <v>322</v>
      </c>
      <c r="E82" t="s">
        <v>323</v>
      </c>
      <c r="H82" t="s">
        <v>301</v>
      </c>
      <c r="I82" t="s">
        <v>303</v>
      </c>
      <c r="J82" t="s">
        <v>752</v>
      </c>
      <c r="K82" t="s">
        <v>2115</v>
      </c>
    </row>
    <row r="83" spans="1:11">
      <c r="A83" t="s">
        <v>404</v>
      </c>
      <c r="B83" t="b">
        <v>0</v>
      </c>
      <c r="C83" t="s">
        <v>301</v>
      </c>
      <c r="D83" t="s">
        <v>322</v>
      </c>
      <c r="E83" t="s">
        <v>323</v>
      </c>
      <c r="H83" t="s">
        <v>301</v>
      </c>
      <c r="I83" t="s">
        <v>303</v>
      </c>
      <c r="J83" t="s">
        <v>752</v>
      </c>
      <c r="K83" t="s">
        <v>2115</v>
      </c>
    </row>
    <row r="84" spans="1:11">
      <c r="A84" t="s">
        <v>405</v>
      </c>
      <c r="B84" t="b">
        <v>0</v>
      </c>
      <c r="C84" t="s">
        <v>340</v>
      </c>
      <c r="D84" t="s">
        <v>340</v>
      </c>
      <c r="E84" t="s">
        <v>340</v>
      </c>
      <c r="H84" t="s">
        <v>340</v>
      </c>
      <c r="I84" t="s">
        <v>303</v>
      </c>
      <c r="J84" t="s">
        <v>752</v>
      </c>
      <c r="K84" t="s">
        <v>2115</v>
      </c>
    </row>
    <row r="85" spans="1:11">
      <c r="A85" t="s">
        <v>406</v>
      </c>
      <c r="B85" t="b">
        <v>0</v>
      </c>
      <c r="C85" t="s">
        <v>301</v>
      </c>
      <c r="D85" t="s">
        <v>322</v>
      </c>
      <c r="E85" t="s">
        <v>323</v>
      </c>
      <c r="H85" t="s">
        <v>301</v>
      </c>
      <c r="I85" t="s">
        <v>303</v>
      </c>
      <c r="J85" t="s">
        <v>752</v>
      </c>
      <c r="K85" t="s">
        <v>2115</v>
      </c>
    </row>
    <row r="86" spans="1:11">
      <c r="A86" t="s">
        <v>407</v>
      </c>
      <c r="B86" t="b">
        <v>0</v>
      </c>
      <c r="C86" t="s">
        <v>301</v>
      </c>
      <c r="D86" t="s">
        <v>322</v>
      </c>
      <c r="E86" t="s">
        <v>323</v>
      </c>
      <c r="H86" t="s">
        <v>301</v>
      </c>
      <c r="I86" t="s">
        <v>303</v>
      </c>
      <c r="J86" t="s">
        <v>752</v>
      </c>
      <c r="K86" t="s">
        <v>2115</v>
      </c>
    </row>
    <row r="87" spans="1:11">
      <c r="A87" t="s">
        <v>408</v>
      </c>
      <c r="B87" t="b">
        <v>0</v>
      </c>
      <c r="C87" t="s">
        <v>301</v>
      </c>
      <c r="D87" t="s">
        <v>301</v>
      </c>
      <c r="E87" t="s">
        <v>301</v>
      </c>
      <c r="H87" t="s">
        <v>301</v>
      </c>
      <c r="I87" t="s">
        <v>303</v>
      </c>
      <c r="J87" t="s">
        <v>752</v>
      </c>
      <c r="K87" t="s">
        <v>2115</v>
      </c>
    </row>
    <row r="88" spans="1:11">
      <c r="A88" t="s">
        <v>409</v>
      </c>
      <c r="B88" t="b">
        <v>0</v>
      </c>
      <c r="H88" t="s">
        <v>302</v>
      </c>
      <c r="I88" t="s">
        <v>303</v>
      </c>
      <c r="J88" t="s">
        <v>752</v>
      </c>
      <c r="K88" t="s">
        <v>2115</v>
      </c>
    </row>
    <row r="89" spans="1:11">
      <c r="A89" t="s">
        <v>410</v>
      </c>
      <c r="B89" t="b">
        <v>0</v>
      </c>
      <c r="C89" t="s">
        <v>330</v>
      </c>
      <c r="D89" t="s">
        <v>322</v>
      </c>
      <c r="E89" t="s">
        <v>330</v>
      </c>
      <c r="H89" t="s">
        <v>302</v>
      </c>
      <c r="I89" t="s">
        <v>303</v>
      </c>
      <c r="J89" t="s">
        <v>411</v>
      </c>
    </row>
    <row r="90" spans="1:11">
      <c r="A90" t="s">
        <v>412</v>
      </c>
      <c r="B90" t="b">
        <v>0</v>
      </c>
      <c r="H90" t="s">
        <v>302</v>
      </c>
      <c r="I90" t="s">
        <v>303</v>
      </c>
      <c r="J90" t="s">
        <v>411</v>
      </c>
    </row>
    <row r="91" spans="1:11">
      <c r="A91" t="s">
        <v>413</v>
      </c>
      <c r="B91" t="b">
        <v>0</v>
      </c>
      <c r="H91" t="s">
        <v>302</v>
      </c>
      <c r="I91" t="s">
        <v>303</v>
      </c>
      <c r="J91" t="s">
        <v>411</v>
      </c>
    </row>
    <row r="92" spans="1:11">
      <c r="A92" t="s">
        <v>414</v>
      </c>
      <c r="B92" t="b">
        <v>0</v>
      </c>
      <c r="C92" t="s">
        <v>301</v>
      </c>
      <c r="D92" t="s">
        <v>322</v>
      </c>
      <c r="E92" t="s">
        <v>323</v>
      </c>
      <c r="H92" t="s">
        <v>302</v>
      </c>
      <c r="I92" t="s">
        <v>303</v>
      </c>
      <c r="J92" t="s">
        <v>411</v>
      </c>
    </row>
    <row r="93" spans="1:11">
      <c r="A93" t="s">
        <v>415</v>
      </c>
      <c r="B93" t="b">
        <v>0</v>
      </c>
      <c r="C93" t="s">
        <v>330</v>
      </c>
      <c r="D93" t="s">
        <v>322</v>
      </c>
      <c r="E93" t="s">
        <v>330</v>
      </c>
      <c r="H93" t="s">
        <v>302</v>
      </c>
      <c r="I93" t="s">
        <v>303</v>
      </c>
      <c r="J93" t="s">
        <v>411</v>
      </c>
    </row>
    <row r="94" spans="1:11">
      <c r="A94" t="s">
        <v>416</v>
      </c>
      <c r="B94" t="b">
        <v>0</v>
      </c>
      <c r="C94" t="s">
        <v>353</v>
      </c>
      <c r="D94" t="s">
        <v>322</v>
      </c>
      <c r="E94" t="s">
        <v>353</v>
      </c>
      <c r="F94" t="s">
        <v>324</v>
      </c>
      <c r="H94" t="s">
        <v>302</v>
      </c>
      <c r="I94" t="s">
        <v>303</v>
      </c>
      <c r="J94" t="s">
        <v>411</v>
      </c>
    </row>
    <row r="95" spans="1:11">
      <c r="A95" t="s">
        <v>417</v>
      </c>
      <c r="B95" t="b">
        <v>0</v>
      </c>
      <c r="C95" t="s">
        <v>301</v>
      </c>
      <c r="D95" t="s">
        <v>322</v>
      </c>
      <c r="E95" t="s">
        <v>323</v>
      </c>
      <c r="H95" t="s">
        <v>302</v>
      </c>
      <c r="I95" t="s">
        <v>303</v>
      </c>
      <c r="J95" t="s">
        <v>411</v>
      </c>
    </row>
    <row r="96" spans="1:11">
      <c r="A96" t="s">
        <v>418</v>
      </c>
      <c r="B96" t="b">
        <v>0</v>
      </c>
      <c r="H96" t="s">
        <v>302</v>
      </c>
      <c r="I96" t="s">
        <v>303</v>
      </c>
      <c r="J96" t="s">
        <v>411</v>
      </c>
    </row>
    <row r="97" spans="1:10">
      <c r="A97" t="s">
        <v>419</v>
      </c>
      <c r="B97" t="b">
        <v>0</v>
      </c>
      <c r="H97" t="s">
        <v>302</v>
      </c>
      <c r="I97" t="s">
        <v>303</v>
      </c>
      <c r="J97" t="s">
        <v>411</v>
      </c>
    </row>
    <row r="98" spans="1:10">
      <c r="A98" t="s">
        <v>420</v>
      </c>
      <c r="B98" t="b">
        <v>0</v>
      </c>
      <c r="H98" t="s">
        <v>302</v>
      </c>
      <c r="I98" t="s">
        <v>303</v>
      </c>
      <c r="J98" t="s">
        <v>411</v>
      </c>
    </row>
    <row r="99" spans="1:10">
      <c r="A99" t="s">
        <v>421</v>
      </c>
      <c r="B99" t="b">
        <v>0</v>
      </c>
      <c r="C99" t="s">
        <v>301</v>
      </c>
      <c r="D99" t="s">
        <v>322</v>
      </c>
      <c r="E99" t="s">
        <v>323</v>
      </c>
      <c r="H99" t="s">
        <v>302</v>
      </c>
      <c r="I99" t="s">
        <v>303</v>
      </c>
      <c r="J99" t="s">
        <v>411</v>
      </c>
    </row>
    <row r="100" spans="1:10">
      <c r="A100" t="s">
        <v>422</v>
      </c>
      <c r="B100" t="b">
        <v>0</v>
      </c>
      <c r="H100" t="s">
        <v>302</v>
      </c>
      <c r="I100" t="s">
        <v>303</v>
      </c>
      <c r="J100" t="s">
        <v>411</v>
      </c>
    </row>
    <row r="101" spans="1:10">
      <c r="A101" t="s">
        <v>423</v>
      </c>
      <c r="B101" t="b">
        <v>0</v>
      </c>
      <c r="H101" t="s">
        <v>302</v>
      </c>
      <c r="I101" t="s">
        <v>303</v>
      </c>
      <c r="J101" t="s">
        <v>411</v>
      </c>
    </row>
    <row r="102" spans="1:10">
      <c r="A102" t="s">
        <v>424</v>
      </c>
      <c r="B102" t="b">
        <v>0</v>
      </c>
      <c r="H102" t="s">
        <v>302</v>
      </c>
      <c r="I102" t="s">
        <v>303</v>
      </c>
      <c r="J102" t="s">
        <v>411</v>
      </c>
    </row>
    <row r="103" spans="1:10">
      <c r="A103" t="s">
        <v>425</v>
      </c>
      <c r="B103" t="b">
        <v>0</v>
      </c>
      <c r="H103" t="s">
        <v>302</v>
      </c>
      <c r="I103" t="s">
        <v>303</v>
      </c>
      <c r="J103" t="s">
        <v>411</v>
      </c>
    </row>
    <row r="104" spans="1:10">
      <c r="A104" t="s">
        <v>426</v>
      </c>
      <c r="B104" t="b">
        <v>0</v>
      </c>
      <c r="H104" t="s">
        <v>302</v>
      </c>
      <c r="I104" t="s">
        <v>303</v>
      </c>
      <c r="J104" t="s">
        <v>411</v>
      </c>
    </row>
    <row r="105" spans="1:10">
      <c r="A105" t="s">
        <v>427</v>
      </c>
      <c r="B105" t="b">
        <v>0</v>
      </c>
      <c r="H105" t="s">
        <v>302</v>
      </c>
      <c r="I105" t="s">
        <v>303</v>
      </c>
      <c r="J105" t="s">
        <v>411</v>
      </c>
    </row>
    <row r="106" spans="1:10">
      <c r="A106" t="s">
        <v>428</v>
      </c>
      <c r="B106" t="b">
        <v>0</v>
      </c>
      <c r="H106" t="s">
        <v>302</v>
      </c>
      <c r="I106" t="s">
        <v>303</v>
      </c>
      <c r="J106" t="s">
        <v>411</v>
      </c>
    </row>
    <row r="107" spans="1:10">
      <c r="A107" t="s">
        <v>429</v>
      </c>
      <c r="B107" t="b">
        <v>0</v>
      </c>
      <c r="H107" t="s">
        <v>302</v>
      </c>
      <c r="I107" t="s">
        <v>303</v>
      </c>
      <c r="J107" t="s">
        <v>411</v>
      </c>
    </row>
    <row r="108" spans="1:10">
      <c r="A108" t="s">
        <v>430</v>
      </c>
      <c r="B108" t="b">
        <v>0</v>
      </c>
      <c r="H108" t="s">
        <v>302</v>
      </c>
      <c r="I108" t="s">
        <v>303</v>
      </c>
      <c r="J108" t="s">
        <v>411</v>
      </c>
    </row>
    <row r="109" spans="1:10">
      <c r="A109" t="s">
        <v>431</v>
      </c>
      <c r="B109" t="b">
        <v>0</v>
      </c>
      <c r="H109" t="s">
        <v>302</v>
      </c>
      <c r="I109" t="s">
        <v>303</v>
      </c>
      <c r="J109" t="s">
        <v>411</v>
      </c>
    </row>
    <row r="110" spans="1:10">
      <c r="A110" t="s">
        <v>432</v>
      </c>
      <c r="B110" t="b">
        <v>0</v>
      </c>
      <c r="H110" t="s">
        <v>302</v>
      </c>
      <c r="I110" t="s">
        <v>303</v>
      </c>
      <c r="J110" t="s">
        <v>411</v>
      </c>
    </row>
    <row r="111" spans="1:10">
      <c r="A111" t="s">
        <v>433</v>
      </c>
      <c r="B111" t="b">
        <v>0</v>
      </c>
      <c r="H111" t="s">
        <v>302</v>
      </c>
      <c r="I111" t="s">
        <v>303</v>
      </c>
      <c r="J111" t="s">
        <v>411</v>
      </c>
    </row>
    <row r="112" spans="1:10">
      <c r="A112" t="s">
        <v>434</v>
      </c>
      <c r="B112" t="b">
        <v>0</v>
      </c>
      <c r="H112" t="s">
        <v>302</v>
      </c>
      <c r="I112" t="s">
        <v>303</v>
      </c>
      <c r="J112" t="s">
        <v>411</v>
      </c>
    </row>
    <row r="113" spans="1:10">
      <c r="A113" t="s">
        <v>435</v>
      </c>
      <c r="B113" t="b">
        <v>0</v>
      </c>
      <c r="H113" t="s">
        <v>302</v>
      </c>
      <c r="I113" t="s">
        <v>303</v>
      </c>
      <c r="J113" t="s">
        <v>411</v>
      </c>
    </row>
    <row r="114" spans="1:10">
      <c r="A114" t="s">
        <v>436</v>
      </c>
      <c r="B114" t="b">
        <v>0</v>
      </c>
      <c r="H114" t="s">
        <v>302</v>
      </c>
      <c r="I114" t="s">
        <v>303</v>
      </c>
      <c r="J114" t="s">
        <v>411</v>
      </c>
    </row>
    <row r="115" spans="1:10">
      <c r="A115" t="s">
        <v>437</v>
      </c>
      <c r="B115" t="b">
        <v>0</v>
      </c>
      <c r="H115" t="s">
        <v>302</v>
      </c>
      <c r="I115" t="s">
        <v>303</v>
      </c>
      <c r="J115" t="s">
        <v>411</v>
      </c>
    </row>
    <row r="116" spans="1:10">
      <c r="A116" t="s">
        <v>438</v>
      </c>
      <c r="B116" t="b">
        <v>0</v>
      </c>
      <c r="H116" t="s">
        <v>302</v>
      </c>
      <c r="I116" t="s">
        <v>303</v>
      </c>
      <c r="J116" t="s">
        <v>411</v>
      </c>
    </row>
    <row r="117" spans="1:10">
      <c r="A117" t="s">
        <v>439</v>
      </c>
      <c r="B117" t="b">
        <v>0</v>
      </c>
      <c r="H117" t="s">
        <v>302</v>
      </c>
      <c r="I117" t="s">
        <v>303</v>
      </c>
      <c r="J117" t="s">
        <v>304</v>
      </c>
    </row>
    <row r="118" spans="1:10">
      <c r="A118" t="s">
        <v>440</v>
      </c>
      <c r="B118" t="b">
        <v>0</v>
      </c>
      <c r="H118" t="s">
        <v>302</v>
      </c>
      <c r="I118" t="s">
        <v>303</v>
      </c>
      <c r="J118" t="s">
        <v>304</v>
      </c>
    </row>
    <row r="119" spans="1:10">
      <c r="A119" t="s">
        <v>441</v>
      </c>
      <c r="B119" t="b">
        <v>0</v>
      </c>
      <c r="H119" t="s">
        <v>302</v>
      </c>
      <c r="I119" t="s">
        <v>303</v>
      </c>
      <c r="J119" t="s">
        <v>304</v>
      </c>
    </row>
    <row r="120" spans="1:10">
      <c r="A120" t="s">
        <v>442</v>
      </c>
      <c r="B120" t="b">
        <v>0</v>
      </c>
      <c r="H120" t="s">
        <v>302</v>
      </c>
      <c r="I120" t="s">
        <v>303</v>
      </c>
      <c r="J120" t="s">
        <v>304</v>
      </c>
    </row>
    <row r="121" spans="1:10">
      <c r="A121" t="s">
        <v>443</v>
      </c>
      <c r="B121" t="b">
        <v>0</v>
      </c>
      <c r="H121" t="s">
        <v>302</v>
      </c>
      <c r="I121" t="s">
        <v>303</v>
      </c>
      <c r="J121" t="s">
        <v>304</v>
      </c>
    </row>
    <row r="122" spans="1:10">
      <c r="A122" t="s">
        <v>444</v>
      </c>
      <c r="B122" t="b">
        <v>0</v>
      </c>
      <c r="H122" t="s">
        <v>302</v>
      </c>
      <c r="I122" t="s">
        <v>303</v>
      </c>
      <c r="J122" t="s">
        <v>304</v>
      </c>
    </row>
    <row r="123" spans="1:10">
      <c r="A123" t="s">
        <v>445</v>
      </c>
      <c r="B123" t="b">
        <v>0</v>
      </c>
      <c r="H123" t="s">
        <v>302</v>
      </c>
      <c r="I123" t="s">
        <v>303</v>
      </c>
      <c r="J123" t="s">
        <v>304</v>
      </c>
    </row>
    <row r="124" spans="1:10">
      <c r="A124" t="s">
        <v>446</v>
      </c>
      <c r="B124" t="b">
        <v>0</v>
      </c>
      <c r="H124" t="s">
        <v>302</v>
      </c>
      <c r="I124" t="s">
        <v>303</v>
      </c>
      <c r="J124" t="s">
        <v>304</v>
      </c>
    </row>
    <row r="125" spans="1:10">
      <c r="A125" t="s">
        <v>447</v>
      </c>
      <c r="B125" t="b">
        <v>0</v>
      </c>
      <c r="H125" t="s">
        <v>302</v>
      </c>
      <c r="I125" t="s">
        <v>303</v>
      </c>
      <c r="J125" t="s">
        <v>304</v>
      </c>
    </row>
    <row r="126" spans="1:10">
      <c r="A126" t="s">
        <v>448</v>
      </c>
      <c r="B126" t="b">
        <v>0</v>
      </c>
      <c r="H126" t="s">
        <v>302</v>
      </c>
      <c r="I126" t="s">
        <v>303</v>
      </c>
      <c r="J126" t="s">
        <v>304</v>
      </c>
    </row>
    <row r="127" spans="1:10">
      <c r="A127" t="s">
        <v>449</v>
      </c>
      <c r="B127" t="b">
        <v>0</v>
      </c>
      <c r="H127" t="s">
        <v>302</v>
      </c>
      <c r="I127" t="s">
        <v>303</v>
      </c>
      <c r="J127" t="s">
        <v>304</v>
      </c>
    </row>
    <row r="128" spans="1:10">
      <c r="A128" t="s">
        <v>450</v>
      </c>
      <c r="B128" t="b">
        <v>0</v>
      </c>
      <c r="H128" t="s">
        <v>302</v>
      </c>
      <c r="I128" t="s">
        <v>303</v>
      </c>
      <c r="J128" t="s">
        <v>304</v>
      </c>
    </row>
    <row r="129" spans="1:10">
      <c r="A129" t="s">
        <v>451</v>
      </c>
      <c r="B129" t="b">
        <v>0</v>
      </c>
      <c r="H129" t="s">
        <v>302</v>
      </c>
      <c r="I129" t="s">
        <v>303</v>
      </c>
      <c r="J129" t="s">
        <v>304</v>
      </c>
    </row>
    <row r="130" spans="1:10">
      <c r="A130" t="s">
        <v>452</v>
      </c>
      <c r="B130" t="b">
        <v>0</v>
      </c>
      <c r="H130" t="s">
        <v>302</v>
      </c>
      <c r="I130" t="s">
        <v>303</v>
      </c>
      <c r="J130" t="s">
        <v>304</v>
      </c>
    </row>
    <row r="131" spans="1:10">
      <c r="A131" t="s">
        <v>453</v>
      </c>
      <c r="B131" t="b">
        <v>0</v>
      </c>
      <c r="H131" t="s">
        <v>302</v>
      </c>
      <c r="I131" t="s">
        <v>303</v>
      </c>
      <c r="J131" t="s">
        <v>304</v>
      </c>
    </row>
    <row r="132" spans="1:10">
      <c r="A132" t="s">
        <v>454</v>
      </c>
      <c r="B132" t="b">
        <v>0</v>
      </c>
      <c r="H132" t="s">
        <v>302</v>
      </c>
      <c r="I132" t="s">
        <v>303</v>
      </c>
      <c r="J132" t="s">
        <v>304</v>
      </c>
    </row>
    <row r="133" spans="1:10">
      <c r="A133" t="s">
        <v>455</v>
      </c>
      <c r="B133" t="b">
        <v>0</v>
      </c>
      <c r="H133" t="s">
        <v>302</v>
      </c>
      <c r="I133" t="s">
        <v>303</v>
      </c>
      <c r="J133" t="s">
        <v>304</v>
      </c>
    </row>
    <row r="134" spans="1:10">
      <c r="A134" t="s">
        <v>456</v>
      </c>
      <c r="B134" t="b">
        <v>0</v>
      </c>
      <c r="H134" t="s">
        <v>302</v>
      </c>
      <c r="I134" t="s">
        <v>303</v>
      </c>
      <c r="J134" t="s">
        <v>304</v>
      </c>
    </row>
    <row r="135" spans="1:10">
      <c r="A135" t="s">
        <v>457</v>
      </c>
      <c r="B135" t="b">
        <v>0</v>
      </c>
      <c r="H135" t="s">
        <v>302</v>
      </c>
      <c r="I135" t="s">
        <v>303</v>
      </c>
      <c r="J135" t="s">
        <v>304</v>
      </c>
    </row>
    <row r="136" spans="1:10">
      <c r="A136" t="s">
        <v>458</v>
      </c>
      <c r="B136" t="b">
        <v>0</v>
      </c>
      <c r="H136" t="s">
        <v>302</v>
      </c>
      <c r="I136" t="s">
        <v>303</v>
      </c>
      <c r="J136" t="s">
        <v>304</v>
      </c>
    </row>
    <row r="137" spans="1:10">
      <c r="A137" t="s">
        <v>459</v>
      </c>
      <c r="B137" t="b">
        <v>0</v>
      </c>
      <c r="H137" t="s">
        <v>302</v>
      </c>
      <c r="I137" t="s">
        <v>303</v>
      </c>
      <c r="J137" t="s">
        <v>304</v>
      </c>
    </row>
    <row r="138" spans="1:10">
      <c r="A138" t="s">
        <v>460</v>
      </c>
      <c r="B138" t="b">
        <v>0</v>
      </c>
      <c r="H138" t="s">
        <v>302</v>
      </c>
      <c r="I138" t="s">
        <v>303</v>
      </c>
      <c r="J138" t="s">
        <v>411</v>
      </c>
    </row>
    <row r="139" spans="1:10">
      <c r="A139" t="s">
        <v>461</v>
      </c>
      <c r="B139" t="b">
        <v>0</v>
      </c>
      <c r="H139" t="s">
        <v>302</v>
      </c>
      <c r="I139" t="s">
        <v>303</v>
      </c>
      <c r="J139" t="s">
        <v>411</v>
      </c>
    </row>
    <row r="140" spans="1:10">
      <c r="A140" t="s">
        <v>462</v>
      </c>
      <c r="B140" t="b">
        <v>0</v>
      </c>
      <c r="H140" t="s">
        <v>302</v>
      </c>
      <c r="I140" t="s">
        <v>303</v>
      </c>
      <c r="J140" t="s">
        <v>411</v>
      </c>
    </row>
    <row r="141" spans="1:10">
      <c r="A141" t="s">
        <v>463</v>
      </c>
      <c r="B141" t="b">
        <v>0</v>
      </c>
      <c r="H141" t="s">
        <v>302</v>
      </c>
      <c r="I141" t="s">
        <v>303</v>
      </c>
      <c r="J141" t="s">
        <v>411</v>
      </c>
    </row>
    <row r="142" spans="1:10">
      <c r="A142" t="s">
        <v>464</v>
      </c>
      <c r="B142" t="b">
        <v>0</v>
      </c>
      <c r="H142" t="s">
        <v>302</v>
      </c>
      <c r="I142" t="s">
        <v>303</v>
      </c>
      <c r="J142" t="s">
        <v>411</v>
      </c>
    </row>
    <row r="143" spans="1:10">
      <c r="A143" t="s">
        <v>465</v>
      </c>
      <c r="B143" t="b">
        <v>0</v>
      </c>
      <c r="H143" t="s">
        <v>302</v>
      </c>
      <c r="I143" t="s">
        <v>303</v>
      </c>
      <c r="J143" t="s">
        <v>411</v>
      </c>
    </row>
    <row r="144" spans="1:10">
      <c r="A144" t="s">
        <v>466</v>
      </c>
      <c r="B144" t="b">
        <v>0</v>
      </c>
      <c r="H144" t="s">
        <v>302</v>
      </c>
      <c r="I144" t="s">
        <v>303</v>
      </c>
      <c r="J144" t="s">
        <v>411</v>
      </c>
    </row>
    <row r="145" spans="1:10">
      <c r="A145" t="s">
        <v>467</v>
      </c>
      <c r="B145" t="b">
        <v>0</v>
      </c>
      <c r="H145" t="s">
        <v>302</v>
      </c>
      <c r="I145" t="s">
        <v>303</v>
      </c>
      <c r="J145" t="s">
        <v>411</v>
      </c>
    </row>
    <row r="146" spans="1:10">
      <c r="A146" t="s">
        <v>468</v>
      </c>
      <c r="B146" t="b">
        <v>0</v>
      </c>
      <c r="H146" t="s">
        <v>302</v>
      </c>
      <c r="I146" t="s">
        <v>303</v>
      </c>
      <c r="J146" t="s">
        <v>411</v>
      </c>
    </row>
    <row r="147" spans="1:10">
      <c r="A147" t="s">
        <v>469</v>
      </c>
      <c r="B147" t="b">
        <v>0</v>
      </c>
      <c r="H147" t="s">
        <v>302</v>
      </c>
      <c r="I147" t="s">
        <v>303</v>
      </c>
      <c r="J147" t="s">
        <v>411</v>
      </c>
    </row>
    <row r="148" spans="1:10">
      <c r="A148" t="s">
        <v>470</v>
      </c>
      <c r="B148" t="b">
        <v>0</v>
      </c>
      <c r="H148" t="s">
        <v>302</v>
      </c>
      <c r="I148" t="s">
        <v>303</v>
      </c>
      <c r="J148" t="s">
        <v>411</v>
      </c>
    </row>
    <row r="149" spans="1:10">
      <c r="A149" t="s">
        <v>471</v>
      </c>
      <c r="B149" t="b">
        <v>0</v>
      </c>
      <c r="H149" t="s">
        <v>302</v>
      </c>
      <c r="I149" t="s">
        <v>303</v>
      </c>
      <c r="J149" t="s">
        <v>411</v>
      </c>
    </row>
    <row r="150" spans="1:10">
      <c r="A150" t="s">
        <v>472</v>
      </c>
      <c r="B150" t="b">
        <v>0</v>
      </c>
      <c r="H150" t="s">
        <v>302</v>
      </c>
      <c r="I150" t="s">
        <v>303</v>
      </c>
      <c r="J150" t="s">
        <v>411</v>
      </c>
    </row>
    <row r="151" spans="1:10">
      <c r="A151" t="s">
        <v>473</v>
      </c>
      <c r="B151" t="b">
        <v>0</v>
      </c>
      <c r="H151" t="s">
        <v>302</v>
      </c>
      <c r="I151" t="s">
        <v>303</v>
      </c>
      <c r="J151" t="s">
        <v>411</v>
      </c>
    </row>
    <row r="152" spans="1:10">
      <c r="A152" t="s">
        <v>474</v>
      </c>
      <c r="B152" t="b">
        <v>0</v>
      </c>
      <c r="H152" t="s">
        <v>302</v>
      </c>
      <c r="I152" t="s">
        <v>303</v>
      </c>
      <c r="J152" t="s">
        <v>411</v>
      </c>
    </row>
    <row r="153" spans="1:10">
      <c r="A153" t="s">
        <v>475</v>
      </c>
      <c r="B153" t="b">
        <v>0</v>
      </c>
      <c r="H153" t="s">
        <v>302</v>
      </c>
      <c r="I153" t="s">
        <v>303</v>
      </c>
      <c r="J153" t="s">
        <v>411</v>
      </c>
    </row>
    <row r="154" spans="1:10">
      <c r="A154" t="s">
        <v>476</v>
      </c>
      <c r="B154" t="b">
        <v>0</v>
      </c>
      <c r="H154" t="s">
        <v>302</v>
      </c>
      <c r="I154" t="s">
        <v>303</v>
      </c>
      <c r="J154" t="s">
        <v>411</v>
      </c>
    </row>
    <row r="155" spans="1:10">
      <c r="A155" t="s">
        <v>477</v>
      </c>
      <c r="B155" t="b">
        <v>0</v>
      </c>
      <c r="H155" t="s">
        <v>302</v>
      </c>
      <c r="I155" t="s">
        <v>303</v>
      </c>
      <c r="J155" t="s">
        <v>411</v>
      </c>
    </row>
    <row r="156" spans="1:10">
      <c r="A156" t="s">
        <v>478</v>
      </c>
      <c r="B156" t="b">
        <v>0</v>
      </c>
      <c r="H156" t="s">
        <v>302</v>
      </c>
      <c r="I156" t="s">
        <v>303</v>
      </c>
      <c r="J156" t="s">
        <v>411</v>
      </c>
    </row>
    <row r="157" spans="1:10">
      <c r="A157" t="s">
        <v>479</v>
      </c>
      <c r="B157" t="b">
        <v>0</v>
      </c>
      <c r="H157" t="s">
        <v>302</v>
      </c>
      <c r="I157" t="s">
        <v>303</v>
      </c>
      <c r="J157" t="s">
        <v>411</v>
      </c>
    </row>
    <row r="158" spans="1:10">
      <c r="A158" t="s">
        <v>480</v>
      </c>
      <c r="B158" t="b">
        <v>0</v>
      </c>
      <c r="H158" t="s">
        <v>302</v>
      </c>
      <c r="I158" t="s">
        <v>303</v>
      </c>
      <c r="J158" t="s">
        <v>411</v>
      </c>
    </row>
    <row r="159" spans="1:10">
      <c r="A159" t="s">
        <v>481</v>
      </c>
      <c r="B159" t="b">
        <v>0</v>
      </c>
      <c r="H159" t="s">
        <v>302</v>
      </c>
      <c r="I159" t="s">
        <v>303</v>
      </c>
      <c r="J159" t="s">
        <v>411</v>
      </c>
    </row>
    <row r="160" spans="1:10">
      <c r="A160" t="s">
        <v>482</v>
      </c>
      <c r="B160" t="b">
        <v>0</v>
      </c>
      <c r="H160" t="s">
        <v>302</v>
      </c>
      <c r="I160" t="s">
        <v>303</v>
      </c>
      <c r="J160" t="s">
        <v>411</v>
      </c>
    </row>
    <row r="161" spans="1:10">
      <c r="A161" t="s">
        <v>483</v>
      </c>
      <c r="B161" t="b">
        <v>0</v>
      </c>
      <c r="H161" t="s">
        <v>302</v>
      </c>
      <c r="I161" t="s">
        <v>303</v>
      </c>
      <c r="J161" t="s">
        <v>411</v>
      </c>
    </row>
    <row r="162" spans="1:10">
      <c r="A162" t="s">
        <v>484</v>
      </c>
      <c r="B162" t="b">
        <v>0</v>
      </c>
      <c r="H162" t="s">
        <v>302</v>
      </c>
      <c r="I162" t="s">
        <v>303</v>
      </c>
      <c r="J162" t="s">
        <v>411</v>
      </c>
    </row>
    <row r="163" spans="1:10">
      <c r="A163" t="s">
        <v>485</v>
      </c>
      <c r="B163" t="b">
        <v>0</v>
      </c>
      <c r="H163" t="s">
        <v>302</v>
      </c>
      <c r="I163" t="s">
        <v>303</v>
      </c>
      <c r="J163" t="s">
        <v>411</v>
      </c>
    </row>
    <row r="164" spans="1:10">
      <c r="A164" t="s">
        <v>486</v>
      </c>
      <c r="B164" t="b">
        <v>0</v>
      </c>
      <c r="H164" t="s">
        <v>302</v>
      </c>
      <c r="I164" t="s">
        <v>303</v>
      </c>
      <c r="J164" t="s">
        <v>411</v>
      </c>
    </row>
    <row r="165" spans="1:10">
      <c r="A165" t="s">
        <v>487</v>
      </c>
      <c r="B165" t="b">
        <v>0</v>
      </c>
      <c r="H165" t="s">
        <v>302</v>
      </c>
      <c r="I165" t="s">
        <v>303</v>
      </c>
      <c r="J165" t="s">
        <v>411</v>
      </c>
    </row>
    <row r="166" spans="1:10">
      <c r="A166" t="s">
        <v>488</v>
      </c>
      <c r="B166" t="b">
        <v>0</v>
      </c>
      <c r="H166" t="s">
        <v>302</v>
      </c>
      <c r="I166" t="s">
        <v>303</v>
      </c>
      <c r="J166" t="s">
        <v>411</v>
      </c>
    </row>
    <row r="167" spans="1:10">
      <c r="A167" t="s">
        <v>489</v>
      </c>
      <c r="B167" t="b">
        <v>0</v>
      </c>
      <c r="H167" t="s">
        <v>302</v>
      </c>
      <c r="I167" t="s">
        <v>303</v>
      </c>
      <c r="J167" t="s">
        <v>411</v>
      </c>
    </row>
    <row r="168" spans="1:10">
      <c r="A168" t="s">
        <v>490</v>
      </c>
      <c r="B168" t="b">
        <v>0</v>
      </c>
      <c r="H168" t="s">
        <v>302</v>
      </c>
      <c r="I168" t="s">
        <v>303</v>
      </c>
      <c r="J168" t="s">
        <v>411</v>
      </c>
    </row>
    <row r="169" spans="1:10">
      <c r="A169" t="s">
        <v>491</v>
      </c>
      <c r="B169" t="b">
        <v>0</v>
      </c>
      <c r="H169" t="s">
        <v>302</v>
      </c>
      <c r="I169" t="s">
        <v>303</v>
      </c>
      <c r="J169" t="s">
        <v>411</v>
      </c>
    </row>
    <row r="170" spans="1:10">
      <c r="A170" t="s">
        <v>492</v>
      </c>
      <c r="B170" t="b">
        <v>0</v>
      </c>
      <c r="H170" t="s">
        <v>302</v>
      </c>
      <c r="I170" t="s">
        <v>303</v>
      </c>
      <c r="J170" t="s">
        <v>411</v>
      </c>
    </row>
    <row r="171" spans="1:10">
      <c r="A171" t="s">
        <v>493</v>
      </c>
      <c r="B171" t="b">
        <v>0</v>
      </c>
      <c r="H171" t="s">
        <v>302</v>
      </c>
      <c r="I171" t="s">
        <v>303</v>
      </c>
      <c r="J171" t="s">
        <v>411</v>
      </c>
    </row>
    <row r="172" spans="1:10">
      <c r="A172" t="s">
        <v>494</v>
      </c>
      <c r="B172" t="b">
        <v>0</v>
      </c>
      <c r="H172" t="s">
        <v>302</v>
      </c>
      <c r="I172" t="s">
        <v>303</v>
      </c>
      <c r="J172" t="s">
        <v>411</v>
      </c>
    </row>
    <row r="173" spans="1:10">
      <c r="A173" t="s">
        <v>495</v>
      </c>
      <c r="B173" t="b">
        <v>0</v>
      </c>
      <c r="H173" t="s">
        <v>302</v>
      </c>
      <c r="I173" t="s">
        <v>303</v>
      </c>
      <c r="J173" t="s">
        <v>411</v>
      </c>
    </row>
    <row r="174" spans="1:10">
      <c r="A174" t="s">
        <v>496</v>
      </c>
      <c r="B174" t="b">
        <v>0</v>
      </c>
      <c r="H174" t="s">
        <v>302</v>
      </c>
      <c r="I174" t="s">
        <v>303</v>
      </c>
      <c r="J174" t="s">
        <v>411</v>
      </c>
    </row>
    <row r="175" spans="1:10">
      <c r="A175" t="s">
        <v>497</v>
      </c>
      <c r="B175" t="b">
        <v>0</v>
      </c>
      <c r="H175" t="s">
        <v>302</v>
      </c>
      <c r="I175" t="s">
        <v>303</v>
      </c>
      <c r="J175" t="s">
        <v>411</v>
      </c>
    </row>
    <row r="176" spans="1:10">
      <c r="A176" t="s">
        <v>498</v>
      </c>
      <c r="B176" t="b">
        <v>0</v>
      </c>
      <c r="H176" t="s">
        <v>302</v>
      </c>
      <c r="I176" t="s">
        <v>303</v>
      </c>
      <c r="J176" t="s">
        <v>411</v>
      </c>
    </row>
    <row r="177" spans="1:10">
      <c r="A177" t="s">
        <v>499</v>
      </c>
      <c r="B177" t="b">
        <v>0</v>
      </c>
      <c r="H177" t="s">
        <v>302</v>
      </c>
      <c r="I177" t="s">
        <v>303</v>
      </c>
      <c r="J177" t="s">
        <v>411</v>
      </c>
    </row>
    <row r="178" spans="1:10">
      <c r="A178" t="s">
        <v>500</v>
      </c>
      <c r="B178" t="b">
        <v>0</v>
      </c>
      <c r="H178" t="s">
        <v>302</v>
      </c>
      <c r="I178" t="s">
        <v>303</v>
      </c>
      <c r="J178" t="s">
        <v>411</v>
      </c>
    </row>
    <row r="179" spans="1:10">
      <c r="A179" t="s">
        <v>501</v>
      </c>
      <c r="B179" t="b">
        <v>0</v>
      </c>
      <c r="H179" t="s">
        <v>302</v>
      </c>
      <c r="I179" t="s">
        <v>303</v>
      </c>
      <c r="J179" t="s">
        <v>411</v>
      </c>
    </row>
    <row r="180" spans="1:10">
      <c r="A180" t="s">
        <v>502</v>
      </c>
      <c r="B180" t="b">
        <v>0</v>
      </c>
      <c r="H180" t="s">
        <v>302</v>
      </c>
      <c r="I180" t="s">
        <v>303</v>
      </c>
      <c r="J180" t="s">
        <v>411</v>
      </c>
    </row>
    <row r="181" spans="1:10">
      <c r="A181" t="s">
        <v>503</v>
      </c>
      <c r="B181" t="b">
        <v>0</v>
      </c>
      <c r="H181" t="s">
        <v>302</v>
      </c>
      <c r="I181" t="s">
        <v>303</v>
      </c>
      <c r="J181" t="s">
        <v>411</v>
      </c>
    </row>
    <row r="182" spans="1:10">
      <c r="A182" t="s">
        <v>504</v>
      </c>
      <c r="B182" t="b">
        <v>0</v>
      </c>
      <c r="H182" t="s">
        <v>302</v>
      </c>
      <c r="I182" t="s">
        <v>303</v>
      </c>
      <c r="J182" t="s">
        <v>411</v>
      </c>
    </row>
    <row r="183" spans="1:10">
      <c r="A183" t="s">
        <v>505</v>
      </c>
      <c r="B183" t="b">
        <v>0</v>
      </c>
      <c r="H183" t="s">
        <v>302</v>
      </c>
      <c r="I183" t="s">
        <v>303</v>
      </c>
      <c r="J183" t="s">
        <v>411</v>
      </c>
    </row>
    <row r="184" spans="1:10">
      <c r="A184" t="s">
        <v>506</v>
      </c>
      <c r="B184" t="b">
        <v>0</v>
      </c>
      <c r="H184" t="s">
        <v>302</v>
      </c>
      <c r="I184" t="s">
        <v>303</v>
      </c>
      <c r="J184" t="s">
        <v>411</v>
      </c>
    </row>
    <row r="185" spans="1:10">
      <c r="A185" t="s">
        <v>507</v>
      </c>
      <c r="B185" t="b">
        <v>0</v>
      </c>
      <c r="H185" t="s">
        <v>302</v>
      </c>
      <c r="I185" t="s">
        <v>303</v>
      </c>
      <c r="J185" t="s">
        <v>411</v>
      </c>
    </row>
    <row r="186" spans="1:10">
      <c r="A186" t="s">
        <v>508</v>
      </c>
      <c r="B186" t="b">
        <v>0</v>
      </c>
      <c r="H186" t="s">
        <v>302</v>
      </c>
      <c r="I186" t="s">
        <v>303</v>
      </c>
      <c r="J186" t="s">
        <v>411</v>
      </c>
    </row>
    <row r="187" spans="1:10">
      <c r="A187" t="s">
        <v>509</v>
      </c>
      <c r="B187" t="b">
        <v>0</v>
      </c>
      <c r="H187" t="s">
        <v>302</v>
      </c>
      <c r="I187" t="s">
        <v>303</v>
      </c>
      <c r="J187" t="s">
        <v>411</v>
      </c>
    </row>
    <row r="188" spans="1:10">
      <c r="A188" t="s">
        <v>510</v>
      </c>
      <c r="B188" t="b">
        <v>0</v>
      </c>
      <c r="H188" t="s">
        <v>302</v>
      </c>
      <c r="I188" t="s">
        <v>303</v>
      </c>
      <c r="J188" t="s">
        <v>411</v>
      </c>
    </row>
    <row r="189" spans="1:10">
      <c r="A189" t="s">
        <v>511</v>
      </c>
      <c r="B189" t="b">
        <v>0</v>
      </c>
      <c r="H189" t="s">
        <v>302</v>
      </c>
      <c r="I189" t="s">
        <v>303</v>
      </c>
      <c r="J189" t="s">
        <v>411</v>
      </c>
    </row>
    <row r="190" spans="1:10">
      <c r="A190" t="s">
        <v>512</v>
      </c>
      <c r="B190" t="b">
        <v>0</v>
      </c>
      <c r="H190" t="s">
        <v>302</v>
      </c>
      <c r="I190" t="s">
        <v>303</v>
      </c>
      <c r="J190" t="s">
        <v>411</v>
      </c>
    </row>
    <row r="191" spans="1:10">
      <c r="A191" t="s">
        <v>513</v>
      </c>
      <c r="B191" t="b">
        <v>0</v>
      </c>
      <c r="H191" t="s">
        <v>302</v>
      </c>
      <c r="I191" t="s">
        <v>303</v>
      </c>
      <c r="J191" t="s">
        <v>411</v>
      </c>
    </row>
    <row r="192" spans="1:10">
      <c r="A192" t="s">
        <v>514</v>
      </c>
      <c r="B192" t="b">
        <v>0</v>
      </c>
      <c r="H192" t="s">
        <v>302</v>
      </c>
      <c r="I192" t="s">
        <v>303</v>
      </c>
      <c r="J192" t="s">
        <v>411</v>
      </c>
    </row>
    <row r="193" spans="1:10">
      <c r="A193" t="s">
        <v>419</v>
      </c>
      <c r="B193" t="b">
        <v>0</v>
      </c>
      <c r="H193" t="s">
        <v>302</v>
      </c>
      <c r="I193" t="s">
        <v>303</v>
      </c>
      <c r="J193" t="s">
        <v>411</v>
      </c>
    </row>
    <row r="194" spans="1:10">
      <c r="A194" t="s">
        <v>515</v>
      </c>
      <c r="B194" t="b">
        <v>0</v>
      </c>
      <c r="H194" t="s">
        <v>302</v>
      </c>
      <c r="I194" t="s">
        <v>303</v>
      </c>
      <c r="J194" t="s">
        <v>411</v>
      </c>
    </row>
    <row r="195" spans="1:10">
      <c r="A195" t="s">
        <v>516</v>
      </c>
      <c r="B195" t="b">
        <v>0</v>
      </c>
      <c r="H195" t="s">
        <v>302</v>
      </c>
      <c r="I195" t="s">
        <v>303</v>
      </c>
      <c r="J195" t="s">
        <v>411</v>
      </c>
    </row>
    <row r="196" spans="1:10">
      <c r="A196" t="s">
        <v>517</v>
      </c>
      <c r="B196" t="b">
        <v>0</v>
      </c>
      <c r="H196" t="s">
        <v>302</v>
      </c>
      <c r="I196" t="s">
        <v>303</v>
      </c>
      <c r="J196" t="s">
        <v>518</v>
      </c>
    </row>
    <row r="197" spans="1:10">
      <c r="A197" t="s">
        <v>519</v>
      </c>
      <c r="B197" t="b">
        <v>0</v>
      </c>
      <c r="H197" t="s">
        <v>302</v>
      </c>
      <c r="I197" t="s">
        <v>303</v>
      </c>
      <c r="J197" t="s">
        <v>518</v>
      </c>
    </row>
    <row r="198" spans="1:10">
      <c r="A198" t="s">
        <v>520</v>
      </c>
      <c r="B198" t="b">
        <v>0</v>
      </c>
      <c r="H198" t="s">
        <v>302</v>
      </c>
      <c r="I198" t="s">
        <v>303</v>
      </c>
      <c r="J198" t="s">
        <v>518</v>
      </c>
    </row>
    <row r="199" spans="1:10">
      <c r="A199" t="s">
        <v>521</v>
      </c>
      <c r="B199" t="b">
        <v>0</v>
      </c>
      <c r="H199" t="s">
        <v>302</v>
      </c>
      <c r="I199" t="s">
        <v>303</v>
      </c>
      <c r="J199" t="s">
        <v>518</v>
      </c>
    </row>
    <row r="200" spans="1:10">
      <c r="A200" t="s">
        <v>522</v>
      </c>
      <c r="B200" t="b">
        <v>0</v>
      </c>
      <c r="H200" t="s">
        <v>302</v>
      </c>
      <c r="I200" t="s">
        <v>303</v>
      </c>
      <c r="J200" t="s">
        <v>518</v>
      </c>
    </row>
    <row r="201" spans="1:10">
      <c r="A201" t="s">
        <v>523</v>
      </c>
      <c r="B201" t="b">
        <v>0</v>
      </c>
      <c r="H201" t="s">
        <v>302</v>
      </c>
      <c r="I201" t="s">
        <v>303</v>
      </c>
      <c r="J201" t="s">
        <v>518</v>
      </c>
    </row>
    <row r="202" spans="1:10">
      <c r="A202" t="s">
        <v>524</v>
      </c>
      <c r="B202" t="b">
        <v>0</v>
      </c>
      <c r="H202" t="s">
        <v>302</v>
      </c>
      <c r="I202" t="s">
        <v>303</v>
      </c>
      <c r="J202" t="s">
        <v>518</v>
      </c>
    </row>
    <row r="203" spans="1:10">
      <c r="A203" t="s">
        <v>525</v>
      </c>
      <c r="B203" t="b">
        <v>0</v>
      </c>
      <c r="H203" t="s">
        <v>302</v>
      </c>
      <c r="I203" t="s">
        <v>303</v>
      </c>
      <c r="J203" t="s">
        <v>518</v>
      </c>
    </row>
    <row r="204" spans="1:10">
      <c r="A204" t="s">
        <v>526</v>
      </c>
      <c r="B204" t="b">
        <v>0</v>
      </c>
      <c r="H204" t="s">
        <v>302</v>
      </c>
      <c r="I204" t="s">
        <v>303</v>
      </c>
      <c r="J204" t="s">
        <v>518</v>
      </c>
    </row>
    <row r="205" spans="1:10">
      <c r="A205" t="s">
        <v>527</v>
      </c>
      <c r="B205" t="b">
        <v>0</v>
      </c>
      <c r="H205" t="s">
        <v>302</v>
      </c>
      <c r="I205" t="s">
        <v>303</v>
      </c>
      <c r="J205" t="s">
        <v>518</v>
      </c>
    </row>
    <row r="206" spans="1:10">
      <c r="A206" t="s">
        <v>528</v>
      </c>
      <c r="B206" t="b">
        <v>0</v>
      </c>
      <c r="H206" t="s">
        <v>302</v>
      </c>
      <c r="I206" t="s">
        <v>303</v>
      </c>
      <c r="J206" t="s">
        <v>518</v>
      </c>
    </row>
    <row r="207" spans="1:10">
      <c r="A207" t="s">
        <v>538</v>
      </c>
      <c r="B207" t="b">
        <v>0</v>
      </c>
      <c r="H207" t="s">
        <v>302</v>
      </c>
      <c r="I207" t="s">
        <v>303</v>
      </c>
      <c r="J207" t="s">
        <v>539</v>
      </c>
    </row>
    <row r="208" spans="1:10">
      <c r="A208" t="s">
        <v>540</v>
      </c>
      <c r="B208" t="b">
        <v>0</v>
      </c>
      <c r="H208" t="s">
        <v>302</v>
      </c>
      <c r="I208" t="s">
        <v>303</v>
      </c>
      <c r="J208" t="s">
        <v>539</v>
      </c>
    </row>
    <row r="209" spans="1:10">
      <c r="A209" t="s">
        <v>541</v>
      </c>
      <c r="B209" t="b">
        <v>0</v>
      </c>
      <c r="H209" t="s">
        <v>302</v>
      </c>
      <c r="I209" t="s">
        <v>303</v>
      </c>
      <c r="J209" t="s">
        <v>539</v>
      </c>
    </row>
    <row r="210" spans="1:10">
      <c r="A210" t="s">
        <v>542</v>
      </c>
      <c r="B210" t="b">
        <v>0</v>
      </c>
      <c r="H210" t="s">
        <v>302</v>
      </c>
      <c r="I210" t="s">
        <v>303</v>
      </c>
      <c r="J210" t="s">
        <v>539</v>
      </c>
    </row>
    <row r="211" spans="1:10">
      <c r="A211" t="s">
        <v>543</v>
      </c>
      <c r="B211" t="b">
        <v>0</v>
      </c>
      <c r="H211" t="s">
        <v>302</v>
      </c>
      <c r="I211" t="s">
        <v>303</v>
      </c>
      <c r="J211" t="s">
        <v>539</v>
      </c>
    </row>
    <row r="212" spans="1:10">
      <c r="A212" t="s">
        <v>543</v>
      </c>
      <c r="B212" t="b">
        <v>0</v>
      </c>
      <c r="H212" t="s">
        <v>302</v>
      </c>
      <c r="I212" t="s">
        <v>303</v>
      </c>
      <c r="J212" t="s">
        <v>539</v>
      </c>
    </row>
    <row r="213" spans="1:10">
      <c r="A213" t="s">
        <v>544</v>
      </c>
      <c r="B213" t="b">
        <v>0</v>
      </c>
      <c r="H213" t="s">
        <v>302</v>
      </c>
      <c r="I213" t="s">
        <v>303</v>
      </c>
      <c r="J213" t="s">
        <v>539</v>
      </c>
    </row>
    <row r="214" spans="1:10">
      <c r="A214" t="s">
        <v>545</v>
      </c>
      <c r="B214" t="b">
        <v>0</v>
      </c>
      <c r="H214" t="s">
        <v>302</v>
      </c>
      <c r="I214" t="s">
        <v>303</v>
      </c>
      <c r="J214" t="s">
        <v>539</v>
      </c>
    </row>
    <row r="215" spans="1:10">
      <c r="A215" t="s">
        <v>546</v>
      </c>
      <c r="B215" t="b">
        <v>0</v>
      </c>
      <c r="H215" t="s">
        <v>302</v>
      </c>
      <c r="I215" t="s">
        <v>303</v>
      </c>
      <c r="J215" t="s">
        <v>539</v>
      </c>
    </row>
    <row r="216" spans="1:10">
      <c r="A216" t="s">
        <v>547</v>
      </c>
      <c r="B216" t="b">
        <v>0</v>
      </c>
      <c r="H216" t="s">
        <v>302</v>
      </c>
      <c r="I216" t="s">
        <v>303</v>
      </c>
      <c r="J216" t="s">
        <v>539</v>
      </c>
    </row>
    <row r="217" spans="1:10">
      <c r="A217" t="s">
        <v>548</v>
      </c>
      <c r="B217" t="b">
        <v>0</v>
      </c>
      <c r="H217" t="s">
        <v>302</v>
      </c>
      <c r="I217" t="s">
        <v>303</v>
      </c>
      <c r="J217" t="s">
        <v>539</v>
      </c>
    </row>
    <row r="218" spans="1:10">
      <c r="A218" t="s">
        <v>549</v>
      </c>
      <c r="B218" t="b">
        <v>0</v>
      </c>
      <c r="H218" t="s">
        <v>302</v>
      </c>
      <c r="I218" t="s">
        <v>303</v>
      </c>
      <c r="J218" t="s">
        <v>539</v>
      </c>
    </row>
    <row r="219" spans="1:10">
      <c r="A219" t="s">
        <v>550</v>
      </c>
      <c r="B219" t="b">
        <v>0</v>
      </c>
      <c r="H219" t="s">
        <v>302</v>
      </c>
      <c r="I219" t="s">
        <v>303</v>
      </c>
      <c r="J219" t="s">
        <v>539</v>
      </c>
    </row>
    <row r="220" spans="1:10">
      <c r="A220" t="s">
        <v>551</v>
      </c>
      <c r="B220" t="b">
        <v>0</v>
      </c>
      <c r="H220" t="s">
        <v>302</v>
      </c>
      <c r="I220" t="s">
        <v>303</v>
      </c>
      <c r="J220" t="s">
        <v>539</v>
      </c>
    </row>
    <row r="221" spans="1:10">
      <c r="A221" t="s">
        <v>552</v>
      </c>
      <c r="B221" t="b">
        <v>0</v>
      </c>
      <c r="H221" t="s">
        <v>302</v>
      </c>
      <c r="I221" t="s">
        <v>303</v>
      </c>
      <c r="J221" t="s">
        <v>539</v>
      </c>
    </row>
    <row r="222" spans="1:10">
      <c r="A222" t="s">
        <v>553</v>
      </c>
      <c r="B222" t="b">
        <v>0</v>
      </c>
      <c r="H222" t="s">
        <v>302</v>
      </c>
      <c r="I222" t="s">
        <v>303</v>
      </c>
      <c r="J222" t="s">
        <v>539</v>
      </c>
    </row>
    <row r="223" spans="1:10">
      <c r="A223" t="s">
        <v>554</v>
      </c>
      <c r="B223" t="b">
        <v>0</v>
      </c>
      <c r="H223" t="s">
        <v>302</v>
      </c>
      <c r="I223" t="s">
        <v>303</v>
      </c>
      <c r="J223" t="s">
        <v>518</v>
      </c>
    </row>
    <row r="224" spans="1:10">
      <c r="A224" t="s">
        <v>555</v>
      </c>
      <c r="B224" t="b">
        <v>0</v>
      </c>
      <c r="H224" t="s">
        <v>302</v>
      </c>
      <c r="I224" t="s">
        <v>303</v>
      </c>
      <c r="J224" t="s">
        <v>518</v>
      </c>
    </row>
    <row r="225" spans="1:10">
      <c r="A225" t="s">
        <v>556</v>
      </c>
      <c r="B225" t="b">
        <v>0</v>
      </c>
      <c r="H225" t="s">
        <v>302</v>
      </c>
      <c r="I225" t="s">
        <v>303</v>
      </c>
      <c r="J225" t="s">
        <v>518</v>
      </c>
    </row>
    <row r="226" spans="1:10">
      <c r="A226" t="s">
        <v>557</v>
      </c>
      <c r="B226" t="b">
        <v>0</v>
      </c>
      <c r="H226" t="s">
        <v>302</v>
      </c>
      <c r="I226" t="s">
        <v>303</v>
      </c>
      <c r="J226" t="s">
        <v>518</v>
      </c>
    </row>
    <row r="227" spans="1:10">
      <c r="A227" t="s">
        <v>558</v>
      </c>
      <c r="B227" t="b">
        <v>0</v>
      </c>
      <c r="H227" t="s">
        <v>302</v>
      </c>
      <c r="I227" t="s">
        <v>303</v>
      </c>
      <c r="J227" t="s">
        <v>518</v>
      </c>
    </row>
    <row r="228" spans="1:10">
      <c r="A228" t="s">
        <v>559</v>
      </c>
      <c r="B228" t="b">
        <v>0</v>
      </c>
      <c r="H228" t="s">
        <v>302</v>
      </c>
      <c r="I228" t="s">
        <v>303</v>
      </c>
      <c r="J228" t="s">
        <v>518</v>
      </c>
    </row>
    <row r="229" spans="1:10">
      <c r="A229" t="s">
        <v>560</v>
      </c>
      <c r="B229" t="b">
        <v>0</v>
      </c>
      <c r="H229" t="s">
        <v>302</v>
      </c>
      <c r="I229" t="s">
        <v>303</v>
      </c>
      <c r="J229" t="s">
        <v>518</v>
      </c>
    </row>
    <row r="230" spans="1:10">
      <c r="A230" t="s">
        <v>561</v>
      </c>
      <c r="B230" t="b">
        <v>0</v>
      </c>
      <c r="H230" t="s">
        <v>302</v>
      </c>
      <c r="I230" t="s">
        <v>303</v>
      </c>
      <c r="J230" t="s">
        <v>518</v>
      </c>
    </row>
    <row r="231" spans="1:10">
      <c r="A231" t="s">
        <v>562</v>
      </c>
      <c r="B231" t="b">
        <v>0</v>
      </c>
      <c r="H231" t="s">
        <v>302</v>
      </c>
      <c r="I231" t="s">
        <v>303</v>
      </c>
      <c r="J231" t="s">
        <v>518</v>
      </c>
    </row>
    <row r="232" spans="1:10">
      <c r="A232" t="s">
        <v>563</v>
      </c>
      <c r="B232" t="b">
        <v>0</v>
      </c>
      <c r="H232" t="s">
        <v>302</v>
      </c>
      <c r="I232" t="s">
        <v>303</v>
      </c>
      <c r="J232" t="s">
        <v>518</v>
      </c>
    </row>
    <row r="233" spans="1:10">
      <c r="A233" t="s">
        <v>564</v>
      </c>
      <c r="B233" t="b">
        <v>0</v>
      </c>
      <c r="H233" t="s">
        <v>302</v>
      </c>
      <c r="I233" t="s">
        <v>303</v>
      </c>
      <c r="J233" t="s">
        <v>518</v>
      </c>
    </row>
    <row r="234" spans="1:10">
      <c r="A234" t="s">
        <v>565</v>
      </c>
      <c r="B234" t="b">
        <v>0</v>
      </c>
      <c r="H234" t="s">
        <v>302</v>
      </c>
      <c r="I234" t="s">
        <v>303</v>
      </c>
      <c r="J234" t="s">
        <v>518</v>
      </c>
    </row>
    <row r="235" spans="1:10">
      <c r="A235" t="s">
        <v>566</v>
      </c>
      <c r="B235" t="b">
        <v>0</v>
      </c>
      <c r="H235" t="s">
        <v>302</v>
      </c>
      <c r="I235" t="s">
        <v>303</v>
      </c>
      <c r="J235" t="s">
        <v>518</v>
      </c>
    </row>
    <row r="236" spans="1:10">
      <c r="A236" t="s">
        <v>567</v>
      </c>
      <c r="B236" t="b">
        <v>0</v>
      </c>
      <c r="H236" t="s">
        <v>302</v>
      </c>
      <c r="I236" t="s">
        <v>303</v>
      </c>
      <c r="J236" t="s">
        <v>518</v>
      </c>
    </row>
    <row r="237" spans="1:10">
      <c r="A237" t="s">
        <v>568</v>
      </c>
      <c r="B237" t="b">
        <v>0</v>
      </c>
      <c r="H237" t="s">
        <v>302</v>
      </c>
      <c r="I237" t="s">
        <v>303</v>
      </c>
      <c r="J237" t="s">
        <v>518</v>
      </c>
    </row>
    <row r="238" spans="1:10">
      <c r="A238" t="s">
        <v>569</v>
      </c>
      <c r="B238" t="b">
        <v>0</v>
      </c>
      <c r="H238" t="s">
        <v>302</v>
      </c>
      <c r="I238" t="s">
        <v>303</v>
      </c>
      <c r="J238" t="s">
        <v>518</v>
      </c>
    </row>
    <row r="239" spans="1:10">
      <c r="A239" t="s">
        <v>570</v>
      </c>
      <c r="B239" t="b">
        <v>0</v>
      </c>
      <c r="H239" t="s">
        <v>302</v>
      </c>
      <c r="I239" t="s">
        <v>303</v>
      </c>
      <c r="J239" t="s">
        <v>518</v>
      </c>
    </row>
    <row r="240" spans="1:10">
      <c r="A240" t="s">
        <v>571</v>
      </c>
      <c r="B240" t="b">
        <v>0</v>
      </c>
      <c r="H240" t="s">
        <v>302</v>
      </c>
      <c r="I240" t="s">
        <v>303</v>
      </c>
      <c r="J240" t="s">
        <v>518</v>
      </c>
    </row>
    <row r="241" spans="1:11">
      <c r="A241" t="s">
        <v>572</v>
      </c>
      <c r="B241" t="b">
        <v>0</v>
      </c>
      <c r="H241" t="s">
        <v>302</v>
      </c>
      <c r="I241" t="s">
        <v>303</v>
      </c>
      <c r="J241" t="s">
        <v>304</v>
      </c>
    </row>
    <row r="242" spans="1:11">
      <c r="A242" t="s">
        <v>573</v>
      </c>
      <c r="B242" t="b">
        <v>0</v>
      </c>
      <c r="H242" t="s">
        <v>302</v>
      </c>
      <c r="I242" t="s">
        <v>303</v>
      </c>
      <c r="J242" t="s">
        <v>304</v>
      </c>
    </row>
    <row r="243" spans="1:11">
      <c r="A243" t="s">
        <v>574</v>
      </c>
      <c r="B243" t="b">
        <v>0</v>
      </c>
      <c r="H243" t="s">
        <v>302</v>
      </c>
      <c r="I243" t="s">
        <v>303</v>
      </c>
      <c r="J243" t="s">
        <v>304</v>
      </c>
    </row>
    <row r="244" spans="1:11">
      <c r="A244" t="s">
        <v>575</v>
      </c>
      <c r="B244" t="b">
        <v>0</v>
      </c>
      <c r="H244" t="s">
        <v>302</v>
      </c>
      <c r="I244" t="s">
        <v>303</v>
      </c>
      <c r="J244" t="s">
        <v>304</v>
      </c>
    </row>
    <row r="245" spans="1:11">
      <c r="A245" t="s">
        <v>576</v>
      </c>
      <c r="B245" t="b">
        <v>0</v>
      </c>
      <c r="H245" t="s">
        <v>302</v>
      </c>
      <c r="I245" t="s">
        <v>303</v>
      </c>
      <c r="J245" t="s">
        <v>304</v>
      </c>
    </row>
    <row r="246" spans="1:11">
      <c r="A246" t="s">
        <v>577</v>
      </c>
      <c r="B246" t="b">
        <v>0</v>
      </c>
      <c r="H246" t="s">
        <v>302</v>
      </c>
      <c r="I246" t="s">
        <v>303</v>
      </c>
      <c r="J246" t="s">
        <v>304</v>
      </c>
    </row>
    <row r="247" spans="1:11">
      <c r="A247" t="s">
        <v>578</v>
      </c>
      <c r="B247" t="b">
        <v>0</v>
      </c>
      <c r="H247" t="s">
        <v>302</v>
      </c>
      <c r="I247" t="s">
        <v>303</v>
      </c>
      <c r="J247" t="s">
        <v>304</v>
      </c>
    </row>
    <row r="248" spans="1:11">
      <c r="A248" t="s">
        <v>579</v>
      </c>
      <c r="B248" t="b">
        <v>0</v>
      </c>
      <c r="H248" t="s">
        <v>302</v>
      </c>
      <c r="I248" t="s">
        <v>303</v>
      </c>
      <c r="J248" t="s">
        <v>304</v>
      </c>
    </row>
    <row r="249" spans="1:11">
      <c r="A249" t="s">
        <v>580</v>
      </c>
      <c r="B249" t="b">
        <v>0</v>
      </c>
      <c r="H249" t="s">
        <v>302</v>
      </c>
      <c r="I249" t="s">
        <v>303</v>
      </c>
      <c r="J249" t="s">
        <v>304</v>
      </c>
    </row>
    <row r="250" spans="1:11">
      <c r="A250" t="s">
        <v>581</v>
      </c>
      <c r="B250" t="b">
        <v>0</v>
      </c>
      <c r="H250" t="s">
        <v>302</v>
      </c>
      <c r="I250" t="s">
        <v>303</v>
      </c>
      <c r="J250" t="s">
        <v>304</v>
      </c>
    </row>
    <row r="251" spans="1:11">
      <c r="A251" t="s">
        <v>582</v>
      </c>
      <c r="B251" t="b">
        <v>0</v>
      </c>
      <c r="C251" t="s">
        <v>301</v>
      </c>
      <c r="D251" t="s">
        <v>322</v>
      </c>
      <c r="E251" t="s">
        <v>583</v>
      </c>
      <c r="H251" t="s">
        <v>301</v>
      </c>
      <c r="I251" t="s">
        <v>303</v>
      </c>
      <c r="J251" t="s">
        <v>584</v>
      </c>
      <c r="K251">
        <v>3000</v>
      </c>
    </row>
    <row r="252" spans="1:11">
      <c r="A252" t="s">
        <v>585</v>
      </c>
      <c r="B252" t="b">
        <v>0</v>
      </c>
      <c r="C252" t="s">
        <v>301</v>
      </c>
      <c r="D252" t="s">
        <v>322</v>
      </c>
      <c r="E252" t="s">
        <v>323</v>
      </c>
      <c r="H252" t="s">
        <v>301</v>
      </c>
      <c r="I252" t="s">
        <v>303</v>
      </c>
      <c r="J252" t="s">
        <v>584</v>
      </c>
      <c r="K252">
        <v>3000</v>
      </c>
    </row>
    <row r="253" spans="1:11">
      <c r="A253" t="s">
        <v>586</v>
      </c>
      <c r="B253" t="b">
        <v>0</v>
      </c>
      <c r="C253" t="s">
        <v>301</v>
      </c>
      <c r="D253" t="s">
        <v>322</v>
      </c>
      <c r="E253" t="s">
        <v>323</v>
      </c>
      <c r="H253" t="s">
        <v>301</v>
      </c>
      <c r="I253" t="s">
        <v>303</v>
      </c>
      <c r="J253" t="s">
        <v>584</v>
      </c>
      <c r="K253">
        <v>3000</v>
      </c>
    </row>
    <row r="254" spans="1:11">
      <c r="A254" t="s">
        <v>587</v>
      </c>
      <c r="B254" t="b">
        <v>0</v>
      </c>
      <c r="C254" t="s">
        <v>301</v>
      </c>
      <c r="D254" t="s">
        <v>322</v>
      </c>
      <c r="E254" t="s">
        <v>323</v>
      </c>
      <c r="H254" t="s">
        <v>301</v>
      </c>
      <c r="I254" t="s">
        <v>303</v>
      </c>
      <c r="J254" t="s">
        <v>584</v>
      </c>
      <c r="K254">
        <v>3000</v>
      </c>
    </row>
    <row r="255" spans="1:11">
      <c r="A255" t="s">
        <v>588</v>
      </c>
      <c r="B255" t="b">
        <v>0</v>
      </c>
      <c r="C255" t="s">
        <v>301</v>
      </c>
      <c r="D255" t="s">
        <v>322</v>
      </c>
      <c r="E255" t="s">
        <v>323</v>
      </c>
      <c r="H255" t="s">
        <v>301</v>
      </c>
      <c r="I255" t="s">
        <v>303</v>
      </c>
      <c r="J255" t="s">
        <v>584</v>
      </c>
      <c r="K255">
        <v>3000</v>
      </c>
    </row>
    <row r="256" spans="1:11">
      <c r="A256" t="s">
        <v>589</v>
      </c>
      <c r="B256" t="b">
        <v>0</v>
      </c>
      <c r="C256" t="s">
        <v>301</v>
      </c>
      <c r="D256" t="s">
        <v>322</v>
      </c>
      <c r="E256" t="s">
        <v>323</v>
      </c>
      <c r="H256" t="s">
        <v>301</v>
      </c>
      <c r="I256" t="s">
        <v>303</v>
      </c>
      <c r="J256" t="s">
        <v>584</v>
      </c>
      <c r="K256">
        <v>3000</v>
      </c>
    </row>
    <row r="257" spans="1:11">
      <c r="A257" t="s">
        <v>590</v>
      </c>
      <c r="B257" t="b">
        <v>0</v>
      </c>
      <c r="C257" t="s">
        <v>340</v>
      </c>
      <c r="D257" t="s">
        <v>340</v>
      </c>
      <c r="E257" t="s">
        <v>340</v>
      </c>
      <c r="H257" t="s">
        <v>340</v>
      </c>
      <c r="I257" t="s">
        <v>303</v>
      </c>
      <c r="J257" t="s">
        <v>584</v>
      </c>
      <c r="K257">
        <v>3000</v>
      </c>
    </row>
    <row r="258" spans="1:11">
      <c r="A258" t="s">
        <v>591</v>
      </c>
      <c r="B258" t="b">
        <v>0</v>
      </c>
      <c r="C258" t="s">
        <v>301</v>
      </c>
      <c r="D258" t="s">
        <v>301</v>
      </c>
      <c r="E258" t="s">
        <v>301</v>
      </c>
      <c r="H258" t="s">
        <v>301</v>
      </c>
      <c r="I258" t="s">
        <v>303</v>
      </c>
      <c r="J258" t="s">
        <v>584</v>
      </c>
      <c r="K258">
        <v>3000</v>
      </c>
    </row>
    <row r="259" spans="1:11">
      <c r="A259" t="s">
        <v>592</v>
      </c>
      <c r="B259" t="b">
        <v>0</v>
      </c>
      <c r="C259" t="s">
        <v>301</v>
      </c>
      <c r="D259" t="s">
        <v>322</v>
      </c>
      <c r="E259" t="s">
        <v>323</v>
      </c>
      <c r="H259" t="s">
        <v>301</v>
      </c>
      <c r="I259" t="s">
        <v>303</v>
      </c>
      <c r="J259" t="s">
        <v>584</v>
      </c>
      <c r="K259">
        <v>3000</v>
      </c>
    </row>
    <row r="260" spans="1:11">
      <c r="A260" t="s">
        <v>593</v>
      </c>
      <c r="B260" t="b">
        <v>0</v>
      </c>
      <c r="C260" t="s">
        <v>301</v>
      </c>
      <c r="D260" t="s">
        <v>322</v>
      </c>
      <c r="E260" t="s">
        <v>323</v>
      </c>
      <c r="H260" t="s">
        <v>301</v>
      </c>
      <c r="I260" t="s">
        <v>303</v>
      </c>
      <c r="J260" t="s">
        <v>584</v>
      </c>
      <c r="K260">
        <v>3000</v>
      </c>
    </row>
    <row r="261" spans="1:11">
      <c r="A261" t="s">
        <v>594</v>
      </c>
      <c r="B261" t="b">
        <v>0</v>
      </c>
      <c r="C261" t="s">
        <v>301</v>
      </c>
      <c r="D261" t="s">
        <v>322</v>
      </c>
      <c r="E261" t="s">
        <v>323</v>
      </c>
      <c r="H261" t="s">
        <v>301</v>
      </c>
      <c r="I261" t="s">
        <v>303</v>
      </c>
      <c r="J261" t="s">
        <v>584</v>
      </c>
      <c r="K261">
        <v>3000</v>
      </c>
    </row>
    <row r="262" spans="1:11">
      <c r="A262" t="s">
        <v>595</v>
      </c>
      <c r="B262" t="b">
        <v>0</v>
      </c>
      <c r="C262" t="s">
        <v>340</v>
      </c>
      <c r="D262" t="s">
        <v>340</v>
      </c>
      <c r="E262" t="s">
        <v>340</v>
      </c>
      <c r="H262" t="s">
        <v>340</v>
      </c>
      <c r="I262" t="s">
        <v>303</v>
      </c>
      <c r="J262" t="s">
        <v>584</v>
      </c>
      <c r="K262">
        <v>3000</v>
      </c>
    </row>
    <row r="263" spans="1:11">
      <c r="A263" t="s">
        <v>596</v>
      </c>
      <c r="B263" t="b">
        <v>0</v>
      </c>
      <c r="H263" t="s">
        <v>302</v>
      </c>
      <c r="I263" t="s">
        <v>303</v>
      </c>
      <c r="J263" t="s">
        <v>584</v>
      </c>
      <c r="K263">
        <v>3000</v>
      </c>
    </row>
    <row r="264" spans="1:11">
      <c r="A264" t="s">
        <v>597</v>
      </c>
      <c r="B264" t="b">
        <v>0</v>
      </c>
      <c r="C264" t="s">
        <v>301</v>
      </c>
      <c r="D264" t="s">
        <v>301</v>
      </c>
      <c r="E264" t="s">
        <v>301</v>
      </c>
      <c r="H264" t="s">
        <v>301</v>
      </c>
      <c r="I264" t="s">
        <v>303</v>
      </c>
      <c r="J264" t="s">
        <v>584</v>
      </c>
      <c r="K264">
        <v>3000</v>
      </c>
    </row>
    <row r="265" spans="1:11">
      <c r="A265" t="s">
        <v>598</v>
      </c>
      <c r="B265" t="b">
        <v>0</v>
      </c>
      <c r="H265" t="s">
        <v>302</v>
      </c>
      <c r="I265" t="s">
        <v>303</v>
      </c>
      <c r="J265" t="s">
        <v>304</v>
      </c>
    </row>
    <row r="266" spans="1:11">
      <c r="A266" t="s">
        <v>599</v>
      </c>
      <c r="B266" t="b">
        <v>0</v>
      </c>
      <c r="H266" t="s">
        <v>302</v>
      </c>
      <c r="I266" t="s">
        <v>303</v>
      </c>
      <c r="J266" t="s">
        <v>304</v>
      </c>
    </row>
    <row r="267" spans="1:11">
      <c r="A267" t="s">
        <v>600</v>
      </c>
      <c r="B267" t="b">
        <v>0</v>
      </c>
      <c r="H267" t="s">
        <v>302</v>
      </c>
      <c r="I267" t="s">
        <v>303</v>
      </c>
      <c r="J267" t="s">
        <v>304</v>
      </c>
    </row>
    <row r="268" spans="1:11">
      <c r="A268" t="s">
        <v>601</v>
      </c>
      <c r="B268" t="b">
        <v>0</v>
      </c>
      <c r="H268" t="s">
        <v>302</v>
      </c>
      <c r="I268" t="s">
        <v>303</v>
      </c>
      <c r="J268" t="s">
        <v>304</v>
      </c>
    </row>
    <row r="269" spans="1:11">
      <c r="A269" t="s">
        <v>602</v>
      </c>
      <c r="B269" t="b">
        <v>0</v>
      </c>
      <c r="H269" t="s">
        <v>302</v>
      </c>
      <c r="I269" t="s">
        <v>303</v>
      </c>
      <c r="J269" t="s">
        <v>304</v>
      </c>
    </row>
    <row r="270" spans="1:11">
      <c r="A270" t="s">
        <v>603</v>
      </c>
      <c r="B270" t="b">
        <v>0</v>
      </c>
      <c r="H270" t="s">
        <v>302</v>
      </c>
      <c r="I270" t="s">
        <v>303</v>
      </c>
      <c r="J270" t="s">
        <v>304</v>
      </c>
    </row>
    <row r="271" spans="1:11">
      <c r="A271" t="s">
        <v>604</v>
      </c>
      <c r="B271" t="b">
        <v>0</v>
      </c>
      <c r="H271" t="s">
        <v>302</v>
      </c>
      <c r="I271" t="s">
        <v>303</v>
      </c>
      <c r="J271" t="s">
        <v>304</v>
      </c>
    </row>
    <row r="272" spans="1:11">
      <c r="A272" t="s">
        <v>605</v>
      </c>
      <c r="B272" t="b">
        <v>0</v>
      </c>
      <c r="H272" t="s">
        <v>302</v>
      </c>
      <c r="I272" t="s">
        <v>303</v>
      </c>
      <c r="J272" t="s">
        <v>304</v>
      </c>
    </row>
    <row r="273" spans="1:11">
      <c r="A273" t="s">
        <v>606</v>
      </c>
      <c r="B273" t="b">
        <v>0</v>
      </c>
      <c r="H273" t="s">
        <v>302</v>
      </c>
      <c r="I273" t="s">
        <v>303</v>
      </c>
      <c r="J273" t="s">
        <v>304</v>
      </c>
    </row>
    <row r="274" spans="1:11">
      <c r="A274" t="s">
        <v>607</v>
      </c>
      <c r="B274" t="b">
        <v>0</v>
      </c>
      <c r="H274" t="s">
        <v>302</v>
      </c>
      <c r="I274" t="s">
        <v>303</v>
      </c>
      <c r="J274" t="s">
        <v>304</v>
      </c>
    </row>
    <row r="275" spans="1:11">
      <c r="A275" t="s">
        <v>608</v>
      </c>
      <c r="B275" t="b">
        <v>0</v>
      </c>
      <c r="H275" t="s">
        <v>302</v>
      </c>
      <c r="I275" t="s">
        <v>303</v>
      </c>
      <c r="J275" t="s">
        <v>304</v>
      </c>
    </row>
    <row r="276" spans="1:11">
      <c r="A276" t="s">
        <v>609</v>
      </c>
      <c r="B276" t="b">
        <v>0</v>
      </c>
      <c r="C276" t="s">
        <v>301</v>
      </c>
      <c r="D276" t="s">
        <v>322</v>
      </c>
      <c r="E276" t="s">
        <v>323</v>
      </c>
      <c r="H276" t="s">
        <v>301</v>
      </c>
      <c r="I276" t="s">
        <v>303</v>
      </c>
      <c r="J276" t="s">
        <v>610</v>
      </c>
      <c r="K276">
        <v>2800</v>
      </c>
    </row>
    <row r="277" spans="1:11">
      <c r="A277" t="s">
        <v>611</v>
      </c>
      <c r="B277" t="b">
        <v>0</v>
      </c>
      <c r="C277" t="s">
        <v>301</v>
      </c>
      <c r="D277" t="s">
        <v>322</v>
      </c>
      <c r="E277" t="s">
        <v>323</v>
      </c>
      <c r="H277" t="s">
        <v>301</v>
      </c>
      <c r="I277" t="s">
        <v>303</v>
      </c>
      <c r="J277" t="s">
        <v>610</v>
      </c>
      <c r="K277">
        <v>2800</v>
      </c>
    </row>
    <row r="278" spans="1:11">
      <c r="A278" t="s">
        <v>612</v>
      </c>
      <c r="B278" t="b">
        <v>0</v>
      </c>
      <c r="C278" t="s">
        <v>301</v>
      </c>
      <c r="D278" t="s">
        <v>322</v>
      </c>
      <c r="E278" t="s">
        <v>323</v>
      </c>
      <c r="H278" t="s">
        <v>301</v>
      </c>
      <c r="I278" t="s">
        <v>303</v>
      </c>
      <c r="J278" t="s">
        <v>610</v>
      </c>
      <c r="K278">
        <v>2800</v>
      </c>
    </row>
    <row r="279" spans="1:11">
      <c r="A279" t="s">
        <v>613</v>
      </c>
      <c r="B279" t="b">
        <v>0</v>
      </c>
      <c r="C279" t="s">
        <v>301</v>
      </c>
      <c r="D279" t="s">
        <v>322</v>
      </c>
      <c r="E279" t="s">
        <v>323</v>
      </c>
      <c r="H279" t="s">
        <v>301</v>
      </c>
      <c r="I279" t="s">
        <v>303</v>
      </c>
      <c r="J279" t="s">
        <v>610</v>
      </c>
      <c r="K279">
        <v>2800</v>
      </c>
    </row>
    <row r="280" spans="1:11">
      <c r="A280" t="s">
        <v>614</v>
      </c>
      <c r="B280" t="b">
        <v>0</v>
      </c>
      <c r="C280" t="s">
        <v>330</v>
      </c>
      <c r="D280" t="s">
        <v>322</v>
      </c>
      <c r="E280" t="s">
        <v>330</v>
      </c>
      <c r="H280" t="s">
        <v>301</v>
      </c>
      <c r="I280" t="s">
        <v>303</v>
      </c>
      <c r="J280" t="s">
        <v>610</v>
      </c>
      <c r="K280">
        <v>2800</v>
      </c>
    </row>
    <row r="281" spans="1:11">
      <c r="A281" t="s">
        <v>615</v>
      </c>
      <c r="B281" t="b">
        <v>0</v>
      </c>
      <c r="C281" t="s">
        <v>301</v>
      </c>
      <c r="D281" t="s">
        <v>322</v>
      </c>
      <c r="E281" t="s">
        <v>323</v>
      </c>
      <c r="H281" t="s">
        <v>301</v>
      </c>
      <c r="I281" t="s">
        <v>303</v>
      </c>
      <c r="J281" t="s">
        <v>610</v>
      </c>
      <c r="K281">
        <v>2800</v>
      </c>
    </row>
    <row r="282" spans="1:11">
      <c r="A282" t="s">
        <v>616</v>
      </c>
      <c r="B282" t="b">
        <v>0</v>
      </c>
      <c r="H282" t="s">
        <v>302</v>
      </c>
      <c r="I282" t="s">
        <v>303</v>
      </c>
      <c r="J282" t="s">
        <v>610</v>
      </c>
      <c r="K282">
        <v>2800</v>
      </c>
    </row>
    <row r="283" spans="1:11">
      <c r="A283" t="s">
        <v>617</v>
      </c>
      <c r="B283" t="b">
        <v>0</v>
      </c>
      <c r="H283" t="s">
        <v>302</v>
      </c>
      <c r="I283" t="s">
        <v>303</v>
      </c>
      <c r="J283" t="s">
        <v>411</v>
      </c>
    </row>
    <row r="284" spans="1:11">
      <c r="A284" t="s">
        <v>618</v>
      </c>
      <c r="B284" t="b">
        <v>0</v>
      </c>
      <c r="H284" t="s">
        <v>302</v>
      </c>
      <c r="I284" t="s">
        <v>303</v>
      </c>
      <c r="J284" t="s">
        <v>411</v>
      </c>
    </row>
    <row r="285" spans="1:11">
      <c r="A285" t="s">
        <v>619</v>
      </c>
      <c r="B285" t="b">
        <v>0</v>
      </c>
      <c r="H285" t="s">
        <v>302</v>
      </c>
      <c r="I285" t="s">
        <v>303</v>
      </c>
      <c r="J285" t="s">
        <v>411</v>
      </c>
    </row>
    <row r="286" spans="1:11">
      <c r="A286" t="s">
        <v>620</v>
      </c>
      <c r="B286" t="b">
        <v>0</v>
      </c>
      <c r="H286" t="s">
        <v>302</v>
      </c>
      <c r="I286" t="s">
        <v>303</v>
      </c>
      <c r="J286" t="s">
        <v>411</v>
      </c>
    </row>
    <row r="287" spans="1:11">
      <c r="A287" t="s">
        <v>621</v>
      </c>
      <c r="B287" t="b">
        <v>0</v>
      </c>
      <c r="H287" t="s">
        <v>302</v>
      </c>
      <c r="I287" t="s">
        <v>303</v>
      </c>
      <c r="J287" t="s">
        <v>411</v>
      </c>
    </row>
    <row r="288" spans="1:11">
      <c r="A288" t="s">
        <v>622</v>
      </c>
      <c r="B288" t="b">
        <v>0</v>
      </c>
      <c r="H288" t="s">
        <v>302</v>
      </c>
      <c r="I288" t="s">
        <v>303</v>
      </c>
      <c r="J288" t="s">
        <v>411</v>
      </c>
    </row>
    <row r="289" spans="1:10">
      <c r="A289" t="s">
        <v>623</v>
      </c>
      <c r="B289" t="b">
        <v>0</v>
      </c>
      <c r="H289" t="s">
        <v>302</v>
      </c>
      <c r="I289" t="s">
        <v>303</v>
      </c>
      <c r="J289" t="s">
        <v>411</v>
      </c>
    </row>
    <row r="290" spans="1:10">
      <c r="A290" t="s">
        <v>624</v>
      </c>
      <c r="B290" t="b">
        <v>0</v>
      </c>
      <c r="H290" t="s">
        <v>302</v>
      </c>
      <c r="I290" t="s">
        <v>303</v>
      </c>
      <c r="J290" t="s">
        <v>539</v>
      </c>
    </row>
    <row r="291" spans="1:10">
      <c r="A291" t="s">
        <v>625</v>
      </c>
      <c r="B291" t="b">
        <v>0</v>
      </c>
      <c r="H291" t="s">
        <v>302</v>
      </c>
      <c r="I291" t="s">
        <v>303</v>
      </c>
      <c r="J291" t="s">
        <v>539</v>
      </c>
    </row>
    <row r="292" spans="1:10">
      <c r="A292" t="s">
        <v>626</v>
      </c>
      <c r="B292" t="b">
        <v>0</v>
      </c>
      <c r="H292" t="s">
        <v>302</v>
      </c>
      <c r="I292" t="s">
        <v>303</v>
      </c>
      <c r="J292" t="s">
        <v>539</v>
      </c>
    </row>
    <row r="293" spans="1:10">
      <c r="A293" t="s">
        <v>627</v>
      </c>
      <c r="B293" t="b">
        <v>0</v>
      </c>
      <c r="H293" t="s">
        <v>302</v>
      </c>
      <c r="I293" t="s">
        <v>303</v>
      </c>
      <c r="J293" t="s">
        <v>539</v>
      </c>
    </row>
    <row r="294" spans="1:10">
      <c r="A294" t="s">
        <v>628</v>
      </c>
      <c r="B294" t="b">
        <v>0</v>
      </c>
      <c r="H294" t="s">
        <v>302</v>
      </c>
      <c r="I294" t="s">
        <v>303</v>
      </c>
      <c r="J294" t="s">
        <v>539</v>
      </c>
    </row>
    <row r="295" spans="1:10">
      <c r="A295" t="s">
        <v>629</v>
      </c>
      <c r="B295" t="b">
        <v>0</v>
      </c>
      <c r="H295" t="s">
        <v>302</v>
      </c>
      <c r="I295" t="s">
        <v>303</v>
      </c>
      <c r="J295" t="s">
        <v>411</v>
      </c>
    </row>
    <row r="296" spans="1:10">
      <c r="A296" t="s">
        <v>630</v>
      </c>
      <c r="B296" t="b">
        <v>0</v>
      </c>
      <c r="H296" t="s">
        <v>302</v>
      </c>
      <c r="I296" t="s">
        <v>303</v>
      </c>
      <c r="J296" t="s">
        <v>411</v>
      </c>
    </row>
    <row r="297" spans="1:10">
      <c r="A297" t="s">
        <v>631</v>
      </c>
      <c r="B297" t="b">
        <v>0</v>
      </c>
      <c r="G297" t="s">
        <v>301</v>
      </c>
      <c r="H297" t="s">
        <v>302</v>
      </c>
      <c r="I297" t="s">
        <v>303</v>
      </c>
      <c r="J297" t="s">
        <v>411</v>
      </c>
    </row>
    <row r="298" spans="1:10">
      <c r="A298" t="s">
        <v>632</v>
      </c>
      <c r="B298" t="b">
        <v>0</v>
      </c>
      <c r="H298" t="s">
        <v>302</v>
      </c>
      <c r="I298" t="s">
        <v>303</v>
      </c>
      <c r="J298" t="s">
        <v>411</v>
      </c>
    </row>
    <row r="299" spans="1:10">
      <c r="A299" t="s">
        <v>633</v>
      </c>
      <c r="B299" t="b">
        <v>0</v>
      </c>
      <c r="C299" t="s">
        <v>376</v>
      </c>
      <c r="D299" t="s">
        <v>322</v>
      </c>
      <c r="E299" t="s">
        <v>376</v>
      </c>
      <c r="H299" t="s">
        <v>302</v>
      </c>
      <c r="I299" t="s">
        <v>303</v>
      </c>
      <c r="J299" t="s">
        <v>411</v>
      </c>
    </row>
    <row r="300" spans="1:10">
      <c r="A300" t="s">
        <v>634</v>
      </c>
      <c r="B300" t="b">
        <v>0</v>
      </c>
      <c r="H300" t="s">
        <v>302</v>
      </c>
      <c r="I300" t="s">
        <v>303</v>
      </c>
      <c r="J300" t="s">
        <v>411</v>
      </c>
    </row>
    <row r="301" spans="1:10">
      <c r="A301" t="s">
        <v>635</v>
      </c>
      <c r="B301" t="b">
        <v>0</v>
      </c>
      <c r="H301" t="s">
        <v>302</v>
      </c>
      <c r="I301" t="s">
        <v>303</v>
      </c>
      <c r="J301" t="s">
        <v>411</v>
      </c>
    </row>
    <row r="302" spans="1:10">
      <c r="A302" t="s">
        <v>636</v>
      </c>
      <c r="B302" t="b">
        <v>0</v>
      </c>
      <c r="H302" t="s">
        <v>302</v>
      </c>
      <c r="I302" t="s">
        <v>303</v>
      </c>
      <c r="J302" t="s">
        <v>411</v>
      </c>
    </row>
    <row r="303" spans="1:10">
      <c r="A303" t="s">
        <v>637</v>
      </c>
      <c r="B303" t="b">
        <v>0</v>
      </c>
      <c r="H303" t="s">
        <v>302</v>
      </c>
      <c r="I303" t="s">
        <v>303</v>
      </c>
      <c r="J303" t="s">
        <v>411</v>
      </c>
    </row>
    <row r="304" spans="1:10">
      <c r="A304" t="s">
        <v>638</v>
      </c>
      <c r="B304" t="b">
        <v>0</v>
      </c>
      <c r="C304" t="s">
        <v>340</v>
      </c>
      <c r="D304" t="s">
        <v>340</v>
      </c>
      <c r="E304" t="s">
        <v>340</v>
      </c>
      <c r="H304" t="s">
        <v>302</v>
      </c>
      <c r="I304" t="s">
        <v>303</v>
      </c>
      <c r="J304" t="s">
        <v>539</v>
      </c>
    </row>
    <row r="305" spans="1:10">
      <c r="A305" t="s">
        <v>639</v>
      </c>
      <c r="B305" t="b">
        <v>0</v>
      </c>
      <c r="C305" t="s">
        <v>330</v>
      </c>
      <c r="D305" t="s">
        <v>322</v>
      </c>
      <c r="E305" t="s">
        <v>330</v>
      </c>
      <c r="H305" t="s">
        <v>302</v>
      </c>
      <c r="I305" t="s">
        <v>303</v>
      </c>
      <c r="J305" t="s">
        <v>539</v>
      </c>
    </row>
    <row r="306" spans="1:10">
      <c r="A306" t="s">
        <v>640</v>
      </c>
      <c r="B306" t="b">
        <v>0</v>
      </c>
      <c r="H306" t="s">
        <v>302</v>
      </c>
      <c r="I306" t="s">
        <v>303</v>
      </c>
      <c r="J306" t="s">
        <v>539</v>
      </c>
    </row>
    <row r="307" spans="1:10">
      <c r="A307" t="s">
        <v>641</v>
      </c>
      <c r="B307" t="b">
        <v>0</v>
      </c>
      <c r="H307" t="s">
        <v>302</v>
      </c>
      <c r="I307" t="s">
        <v>303</v>
      </c>
      <c r="J307" t="s">
        <v>539</v>
      </c>
    </row>
    <row r="308" spans="1:10">
      <c r="A308" t="s">
        <v>642</v>
      </c>
      <c r="B308" t="b">
        <v>0</v>
      </c>
      <c r="H308" t="s">
        <v>302</v>
      </c>
      <c r="I308" t="s">
        <v>303</v>
      </c>
      <c r="J308" t="s">
        <v>539</v>
      </c>
    </row>
    <row r="309" spans="1:10">
      <c r="A309" t="s">
        <v>643</v>
      </c>
      <c r="B309" t="b">
        <v>0</v>
      </c>
      <c r="H309" t="s">
        <v>302</v>
      </c>
      <c r="I309" t="s">
        <v>303</v>
      </c>
      <c r="J309" t="s">
        <v>539</v>
      </c>
    </row>
    <row r="310" spans="1:10">
      <c r="A310" t="s">
        <v>644</v>
      </c>
      <c r="B310" t="b">
        <v>0</v>
      </c>
      <c r="C310" t="s">
        <v>301</v>
      </c>
      <c r="D310" t="s">
        <v>322</v>
      </c>
      <c r="E310" t="s">
        <v>323</v>
      </c>
      <c r="H310" t="s">
        <v>302</v>
      </c>
      <c r="I310" t="s">
        <v>303</v>
      </c>
      <c r="J310" t="s">
        <v>539</v>
      </c>
    </row>
    <row r="311" spans="1:10">
      <c r="A311" t="s">
        <v>645</v>
      </c>
      <c r="B311" t="b">
        <v>0</v>
      </c>
      <c r="C311" t="s">
        <v>301</v>
      </c>
      <c r="D311" t="s">
        <v>322</v>
      </c>
      <c r="E311" t="s">
        <v>323</v>
      </c>
      <c r="H311" t="s">
        <v>302</v>
      </c>
      <c r="I311" t="s">
        <v>303</v>
      </c>
      <c r="J311" t="s">
        <v>539</v>
      </c>
    </row>
    <row r="312" spans="1:10">
      <c r="A312" t="s">
        <v>646</v>
      </c>
      <c r="B312" t="b">
        <v>0</v>
      </c>
      <c r="C312" t="s">
        <v>301</v>
      </c>
      <c r="D312" t="s">
        <v>322</v>
      </c>
      <c r="E312" t="s">
        <v>323</v>
      </c>
      <c r="H312" t="s">
        <v>302</v>
      </c>
      <c r="I312" t="s">
        <v>303</v>
      </c>
      <c r="J312" t="s">
        <v>539</v>
      </c>
    </row>
    <row r="313" spans="1:10">
      <c r="A313" t="s">
        <v>647</v>
      </c>
      <c r="B313" t="b">
        <v>0</v>
      </c>
      <c r="C313" t="s">
        <v>301</v>
      </c>
      <c r="D313" t="s">
        <v>322</v>
      </c>
      <c r="E313" t="s">
        <v>323</v>
      </c>
      <c r="H313" t="s">
        <v>302</v>
      </c>
      <c r="I313" t="s">
        <v>303</v>
      </c>
      <c r="J313" t="s">
        <v>539</v>
      </c>
    </row>
    <row r="314" spans="1:10">
      <c r="A314" t="s">
        <v>648</v>
      </c>
      <c r="B314" t="b">
        <v>0</v>
      </c>
      <c r="C314" t="s">
        <v>301</v>
      </c>
      <c r="D314" t="s">
        <v>322</v>
      </c>
      <c r="E314" t="s">
        <v>323</v>
      </c>
      <c r="H314" t="s">
        <v>302</v>
      </c>
      <c r="I314" t="s">
        <v>303</v>
      </c>
      <c r="J314" t="s">
        <v>539</v>
      </c>
    </row>
    <row r="315" spans="1:10">
      <c r="A315" t="s">
        <v>649</v>
      </c>
      <c r="B315" t="b">
        <v>0</v>
      </c>
      <c r="C315" t="s">
        <v>301</v>
      </c>
      <c r="D315" t="s">
        <v>322</v>
      </c>
      <c r="E315" t="s">
        <v>323</v>
      </c>
      <c r="H315" t="s">
        <v>302</v>
      </c>
      <c r="I315" t="s">
        <v>303</v>
      </c>
      <c r="J315" t="s">
        <v>539</v>
      </c>
    </row>
    <row r="316" spans="1:10">
      <c r="A316" t="s">
        <v>650</v>
      </c>
      <c r="B316" t="b">
        <v>0</v>
      </c>
      <c r="H316" t="s">
        <v>302</v>
      </c>
      <c r="I316" t="s">
        <v>303</v>
      </c>
      <c r="J316" t="s">
        <v>539</v>
      </c>
    </row>
    <row r="317" spans="1:10">
      <c r="A317" t="s">
        <v>651</v>
      </c>
      <c r="B317" t="b">
        <v>0</v>
      </c>
      <c r="H317" t="s">
        <v>302</v>
      </c>
      <c r="I317" t="s">
        <v>303</v>
      </c>
      <c r="J317" t="s">
        <v>539</v>
      </c>
    </row>
    <row r="318" spans="1:10">
      <c r="A318" t="s">
        <v>652</v>
      </c>
      <c r="B318" t="b">
        <v>0</v>
      </c>
      <c r="H318" t="s">
        <v>302</v>
      </c>
      <c r="I318" t="s">
        <v>303</v>
      </c>
      <c r="J318" t="s">
        <v>539</v>
      </c>
    </row>
    <row r="319" spans="1:10">
      <c r="A319" t="s">
        <v>653</v>
      </c>
      <c r="B319" t="b">
        <v>0</v>
      </c>
      <c r="H319" t="s">
        <v>302</v>
      </c>
      <c r="I319" t="s">
        <v>303</v>
      </c>
      <c r="J319" t="s">
        <v>539</v>
      </c>
    </row>
    <row r="320" spans="1:10">
      <c r="A320" t="s">
        <v>654</v>
      </c>
      <c r="B320" t="b">
        <v>0</v>
      </c>
      <c r="H320" t="s">
        <v>302</v>
      </c>
      <c r="I320" t="s">
        <v>303</v>
      </c>
      <c r="J320" t="s">
        <v>539</v>
      </c>
    </row>
    <row r="321" spans="1:10">
      <c r="A321" t="s">
        <v>655</v>
      </c>
      <c r="B321" t="b">
        <v>0</v>
      </c>
      <c r="H321" t="s">
        <v>302</v>
      </c>
      <c r="I321" t="s">
        <v>303</v>
      </c>
      <c r="J321" t="s">
        <v>539</v>
      </c>
    </row>
    <row r="322" spans="1:10">
      <c r="A322" t="s">
        <v>656</v>
      </c>
      <c r="B322" t="b">
        <v>0</v>
      </c>
      <c r="H322" t="s">
        <v>302</v>
      </c>
      <c r="I322" t="s">
        <v>303</v>
      </c>
      <c r="J322" t="s">
        <v>539</v>
      </c>
    </row>
    <row r="323" spans="1:10">
      <c r="A323" t="s">
        <v>657</v>
      </c>
      <c r="B323" t="b">
        <v>0</v>
      </c>
      <c r="H323" t="s">
        <v>302</v>
      </c>
      <c r="I323" t="s">
        <v>303</v>
      </c>
      <c r="J323" t="s">
        <v>539</v>
      </c>
    </row>
    <row r="324" spans="1:10">
      <c r="A324" t="s">
        <v>658</v>
      </c>
      <c r="B324" t="b">
        <v>0</v>
      </c>
      <c r="H324" t="s">
        <v>302</v>
      </c>
      <c r="I324" t="s">
        <v>303</v>
      </c>
      <c r="J324" t="s">
        <v>539</v>
      </c>
    </row>
    <row r="325" spans="1:10">
      <c r="A325" t="s">
        <v>659</v>
      </c>
      <c r="B325" t="b">
        <v>0</v>
      </c>
      <c r="H325" t="s">
        <v>302</v>
      </c>
      <c r="I325" t="s">
        <v>303</v>
      </c>
      <c r="J325" t="s">
        <v>539</v>
      </c>
    </row>
    <row r="326" spans="1:10">
      <c r="A326" t="s">
        <v>660</v>
      </c>
      <c r="B326" t="b">
        <v>0</v>
      </c>
      <c r="H326" t="s">
        <v>302</v>
      </c>
      <c r="I326" t="s">
        <v>303</v>
      </c>
      <c r="J326" t="s">
        <v>539</v>
      </c>
    </row>
    <row r="327" spans="1:10">
      <c r="A327" t="s">
        <v>661</v>
      </c>
      <c r="B327" t="b">
        <v>0</v>
      </c>
      <c r="H327" t="s">
        <v>302</v>
      </c>
      <c r="I327" t="s">
        <v>303</v>
      </c>
      <c r="J327" t="s">
        <v>539</v>
      </c>
    </row>
    <row r="328" spans="1:10">
      <c r="A328" t="s">
        <v>662</v>
      </c>
      <c r="B328" t="b">
        <v>0</v>
      </c>
      <c r="H328" t="s">
        <v>302</v>
      </c>
      <c r="I328" t="s">
        <v>303</v>
      </c>
      <c r="J328" t="s">
        <v>539</v>
      </c>
    </row>
    <row r="329" spans="1:10">
      <c r="A329" t="s">
        <v>663</v>
      </c>
      <c r="B329" t="b">
        <v>0</v>
      </c>
      <c r="H329" t="s">
        <v>302</v>
      </c>
      <c r="I329" t="s">
        <v>303</v>
      </c>
      <c r="J329" t="s">
        <v>539</v>
      </c>
    </row>
    <row r="330" spans="1:10">
      <c r="A330" t="s">
        <v>664</v>
      </c>
      <c r="B330" t="b">
        <v>0</v>
      </c>
      <c r="C330" t="s">
        <v>353</v>
      </c>
      <c r="D330" t="s">
        <v>354</v>
      </c>
      <c r="E330" t="s">
        <v>353</v>
      </c>
      <c r="H330" t="s">
        <v>302</v>
      </c>
      <c r="I330" t="s">
        <v>303</v>
      </c>
      <c r="J330" t="s">
        <v>539</v>
      </c>
    </row>
    <row r="331" spans="1:10">
      <c r="A331" t="s">
        <v>665</v>
      </c>
      <c r="B331" t="b">
        <v>0</v>
      </c>
      <c r="H331" t="s">
        <v>302</v>
      </c>
      <c r="I331" t="s">
        <v>303</v>
      </c>
      <c r="J331" t="s">
        <v>539</v>
      </c>
    </row>
    <row r="332" spans="1:10">
      <c r="A332" t="s">
        <v>666</v>
      </c>
      <c r="B332" t="b">
        <v>0</v>
      </c>
      <c r="H332" t="s">
        <v>302</v>
      </c>
      <c r="I332" t="s">
        <v>303</v>
      </c>
      <c r="J332" t="s">
        <v>539</v>
      </c>
    </row>
    <row r="333" spans="1:10">
      <c r="A333" t="s">
        <v>667</v>
      </c>
      <c r="B333" t="b">
        <v>0</v>
      </c>
      <c r="H333" t="s">
        <v>302</v>
      </c>
      <c r="I333" t="s">
        <v>303</v>
      </c>
      <c r="J333" t="s">
        <v>539</v>
      </c>
    </row>
    <row r="334" spans="1:10">
      <c r="A334" t="s">
        <v>668</v>
      </c>
      <c r="B334" t="b">
        <v>0</v>
      </c>
      <c r="H334" t="s">
        <v>302</v>
      </c>
      <c r="I334" t="s">
        <v>303</v>
      </c>
      <c r="J334" t="s">
        <v>539</v>
      </c>
    </row>
    <row r="335" spans="1:10">
      <c r="A335" t="s">
        <v>669</v>
      </c>
      <c r="B335" t="b">
        <v>0</v>
      </c>
      <c r="C335" t="s">
        <v>330</v>
      </c>
      <c r="H335" t="s">
        <v>302</v>
      </c>
      <c r="I335" t="s">
        <v>303</v>
      </c>
      <c r="J335" t="s">
        <v>539</v>
      </c>
    </row>
    <row r="336" spans="1:10">
      <c r="A336" t="s">
        <v>670</v>
      </c>
      <c r="B336" t="b">
        <v>0</v>
      </c>
      <c r="H336" t="s">
        <v>302</v>
      </c>
      <c r="I336" t="s">
        <v>303</v>
      </c>
      <c r="J336" t="s">
        <v>539</v>
      </c>
    </row>
    <row r="337" spans="1:10">
      <c r="A337" t="s">
        <v>671</v>
      </c>
      <c r="B337" t="b">
        <v>0</v>
      </c>
      <c r="C337" t="s">
        <v>301</v>
      </c>
      <c r="D337" t="s">
        <v>301</v>
      </c>
      <c r="E337" t="s">
        <v>301</v>
      </c>
      <c r="H337" t="s">
        <v>302</v>
      </c>
      <c r="I337" t="s">
        <v>303</v>
      </c>
      <c r="J337" t="s">
        <v>539</v>
      </c>
    </row>
    <row r="338" spans="1:10">
      <c r="A338" t="s">
        <v>672</v>
      </c>
      <c r="B338" t="b">
        <v>0</v>
      </c>
      <c r="C338" t="s">
        <v>330</v>
      </c>
      <c r="H338" t="s">
        <v>302</v>
      </c>
      <c r="I338" t="s">
        <v>303</v>
      </c>
      <c r="J338" t="s">
        <v>539</v>
      </c>
    </row>
    <row r="339" spans="1:10">
      <c r="A339" t="s">
        <v>673</v>
      </c>
      <c r="B339" t="b">
        <v>0</v>
      </c>
      <c r="H339" t="s">
        <v>302</v>
      </c>
      <c r="I339" t="s">
        <v>303</v>
      </c>
      <c r="J339" t="s">
        <v>539</v>
      </c>
    </row>
    <row r="340" spans="1:10">
      <c r="A340" t="s">
        <v>674</v>
      </c>
      <c r="B340" t="b">
        <v>0</v>
      </c>
      <c r="H340" t="s">
        <v>302</v>
      </c>
      <c r="I340" t="s">
        <v>303</v>
      </c>
      <c r="J340" t="s">
        <v>539</v>
      </c>
    </row>
    <row r="341" spans="1:10">
      <c r="A341" t="s">
        <v>675</v>
      </c>
      <c r="B341" t="b">
        <v>0</v>
      </c>
      <c r="H341" t="s">
        <v>302</v>
      </c>
      <c r="I341" t="s">
        <v>303</v>
      </c>
      <c r="J341" t="s">
        <v>539</v>
      </c>
    </row>
    <row r="342" spans="1:10">
      <c r="A342" t="s">
        <v>676</v>
      </c>
      <c r="B342" t="b">
        <v>0</v>
      </c>
      <c r="H342" t="s">
        <v>302</v>
      </c>
      <c r="I342" t="s">
        <v>303</v>
      </c>
      <c r="J342" t="s">
        <v>539</v>
      </c>
    </row>
    <row r="343" spans="1:10">
      <c r="A343" t="s">
        <v>677</v>
      </c>
      <c r="B343" t="b">
        <v>0</v>
      </c>
      <c r="H343" t="s">
        <v>302</v>
      </c>
      <c r="I343" t="s">
        <v>303</v>
      </c>
      <c r="J343" t="s">
        <v>539</v>
      </c>
    </row>
    <row r="344" spans="1:10">
      <c r="A344" t="s">
        <v>678</v>
      </c>
      <c r="B344" t="b">
        <v>0</v>
      </c>
      <c r="H344" t="s">
        <v>302</v>
      </c>
      <c r="I344" t="s">
        <v>303</v>
      </c>
      <c r="J344" t="s">
        <v>539</v>
      </c>
    </row>
    <row r="345" spans="1:10">
      <c r="A345" t="s">
        <v>679</v>
      </c>
      <c r="B345" t="b">
        <v>0</v>
      </c>
      <c r="H345" t="s">
        <v>302</v>
      </c>
      <c r="I345" t="s">
        <v>303</v>
      </c>
      <c r="J345" t="s">
        <v>539</v>
      </c>
    </row>
    <row r="346" spans="1:10">
      <c r="A346" t="s">
        <v>680</v>
      </c>
      <c r="B346" t="b">
        <v>0</v>
      </c>
      <c r="H346" t="s">
        <v>302</v>
      </c>
      <c r="I346" t="s">
        <v>303</v>
      </c>
      <c r="J346" t="s">
        <v>539</v>
      </c>
    </row>
    <row r="347" spans="1:10">
      <c r="A347" t="s">
        <v>681</v>
      </c>
      <c r="B347" t="b">
        <v>0</v>
      </c>
      <c r="H347" t="s">
        <v>302</v>
      </c>
      <c r="I347" t="s">
        <v>303</v>
      </c>
      <c r="J347" t="s">
        <v>539</v>
      </c>
    </row>
    <row r="348" spans="1:10">
      <c r="A348" t="s">
        <v>682</v>
      </c>
      <c r="B348" t="b">
        <v>0</v>
      </c>
      <c r="H348" t="s">
        <v>302</v>
      </c>
      <c r="I348" t="s">
        <v>303</v>
      </c>
      <c r="J348" t="s">
        <v>539</v>
      </c>
    </row>
    <row r="349" spans="1:10">
      <c r="A349" t="s">
        <v>683</v>
      </c>
      <c r="B349" t="b">
        <v>0</v>
      </c>
      <c r="H349" t="s">
        <v>302</v>
      </c>
      <c r="I349" t="s">
        <v>303</v>
      </c>
      <c r="J349" t="s">
        <v>539</v>
      </c>
    </row>
    <row r="350" spans="1:10">
      <c r="A350" t="s">
        <v>684</v>
      </c>
      <c r="B350" t="b">
        <v>0</v>
      </c>
      <c r="H350" t="s">
        <v>302</v>
      </c>
      <c r="I350" t="s">
        <v>303</v>
      </c>
      <c r="J350" t="s">
        <v>539</v>
      </c>
    </row>
    <row r="351" spans="1:10">
      <c r="A351" t="s">
        <v>685</v>
      </c>
      <c r="B351" t="b">
        <v>0</v>
      </c>
      <c r="H351" t="s">
        <v>302</v>
      </c>
      <c r="I351" t="s">
        <v>303</v>
      </c>
      <c r="J351" t="s">
        <v>411</v>
      </c>
    </row>
    <row r="352" spans="1:10">
      <c r="A352" t="s">
        <v>686</v>
      </c>
      <c r="B352" t="b">
        <v>0</v>
      </c>
      <c r="H352" t="s">
        <v>302</v>
      </c>
      <c r="I352" t="s">
        <v>303</v>
      </c>
      <c r="J352" t="s">
        <v>411</v>
      </c>
    </row>
    <row r="353" spans="1:10">
      <c r="A353" t="s">
        <v>687</v>
      </c>
      <c r="B353" t="b">
        <v>0</v>
      </c>
      <c r="H353" t="s">
        <v>302</v>
      </c>
      <c r="I353" t="s">
        <v>303</v>
      </c>
      <c r="J353" t="s">
        <v>411</v>
      </c>
    </row>
    <row r="354" spans="1:10">
      <c r="A354" t="s">
        <v>688</v>
      </c>
      <c r="B354" t="b">
        <v>0</v>
      </c>
      <c r="H354" t="s">
        <v>302</v>
      </c>
      <c r="I354" t="s">
        <v>303</v>
      </c>
      <c r="J354" t="s">
        <v>411</v>
      </c>
    </row>
    <row r="355" spans="1:10">
      <c r="A355" t="s">
        <v>689</v>
      </c>
      <c r="B355" t="b">
        <v>0</v>
      </c>
      <c r="H355" t="s">
        <v>302</v>
      </c>
      <c r="I355" t="s">
        <v>303</v>
      </c>
      <c r="J355" t="s">
        <v>411</v>
      </c>
    </row>
    <row r="356" spans="1:10">
      <c r="A356" t="s">
        <v>690</v>
      </c>
      <c r="B356" t="b">
        <v>0</v>
      </c>
      <c r="H356" t="s">
        <v>302</v>
      </c>
      <c r="I356" t="s">
        <v>303</v>
      </c>
      <c r="J356" t="s">
        <v>411</v>
      </c>
    </row>
    <row r="357" spans="1:10">
      <c r="A357" t="s">
        <v>691</v>
      </c>
      <c r="B357" t="b">
        <v>0</v>
      </c>
      <c r="H357" t="s">
        <v>302</v>
      </c>
      <c r="I357" t="s">
        <v>303</v>
      </c>
      <c r="J357" t="s">
        <v>411</v>
      </c>
    </row>
    <row r="358" spans="1:10">
      <c r="A358" t="s">
        <v>692</v>
      </c>
      <c r="B358" t="b">
        <v>0</v>
      </c>
      <c r="H358" t="s">
        <v>302</v>
      </c>
      <c r="I358" t="s">
        <v>303</v>
      </c>
      <c r="J358" t="s">
        <v>539</v>
      </c>
    </row>
    <row r="359" spans="1:10">
      <c r="A359" t="s">
        <v>693</v>
      </c>
      <c r="B359" t="b">
        <v>0</v>
      </c>
      <c r="H359" t="s">
        <v>302</v>
      </c>
      <c r="I359" t="s">
        <v>303</v>
      </c>
      <c r="J359" t="s">
        <v>539</v>
      </c>
    </row>
    <row r="360" spans="1:10">
      <c r="A360" t="s">
        <v>694</v>
      </c>
      <c r="B360" t="b">
        <v>0</v>
      </c>
      <c r="H360" t="s">
        <v>302</v>
      </c>
      <c r="I360" t="s">
        <v>303</v>
      </c>
      <c r="J360" t="s">
        <v>539</v>
      </c>
    </row>
    <row r="361" spans="1:10">
      <c r="A361" t="s">
        <v>695</v>
      </c>
      <c r="B361" t="b">
        <v>0</v>
      </c>
      <c r="H361" t="s">
        <v>302</v>
      </c>
      <c r="I361" t="s">
        <v>303</v>
      </c>
      <c r="J361" t="s">
        <v>539</v>
      </c>
    </row>
    <row r="362" spans="1:10">
      <c r="A362" t="s">
        <v>696</v>
      </c>
      <c r="B362" t="b">
        <v>0</v>
      </c>
      <c r="H362" t="s">
        <v>302</v>
      </c>
      <c r="I362" t="s">
        <v>303</v>
      </c>
      <c r="J362" t="s">
        <v>539</v>
      </c>
    </row>
    <row r="363" spans="1:10">
      <c r="A363" t="s">
        <v>697</v>
      </c>
      <c r="B363" t="b">
        <v>0</v>
      </c>
      <c r="H363" t="s">
        <v>302</v>
      </c>
      <c r="I363" t="s">
        <v>303</v>
      </c>
      <c r="J363" t="s">
        <v>539</v>
      </c>
    </row>
    <row r="364" spans="1:10">
      <c r="A364" t="s">
        <v>698</v>
      </c>
      <c r="B364" t="b">
        <v>0</v>
      </c>
      <c r="H364" t="s">
        <v>302</v>
      </c>
      <c r="I364" t="s">
        <v>303</v>
      </c>
      <c r="J364" t="s">
        <v>539</v>
      </c>
    </row>
    <row r="365" spans="1:10">
      <c r="A365" t="s">
        <v>699</v>
      </c>
      <c r="B365" t="b">
        <v>0</v>
      </c>
      <c r="H365" t="s">
        <v>302</v>
      </c>
      <c r="I365" t="s">
        <v>303</v>
      </c>
      <c r="J365" t="s">
        <v>539</v>
      </c>
    </row>
    <row r="366" spans="1:10">
      <c r="A366" t="s">
        <v>700</v>
      </c>
      <c r="B366" t="b">
        <v>0</v>
      </c>
      <c r="H366" t="s">
        <v>302</v>
      </c>
      <c r="I366" t="s">
        <v>303</v>
      </c>
      <c r="J366" t="s">
        <v>539</v>
      </c>
    </row>
    <row r="367" spans="1:10">
      <c r="A367" t="s">
        <v>701</v>
      </c>
      <c r="B367" t="b">
        <v>0</v>
      </c>
      <c r="H367" t="s">
        <v>302</v>
      </c>
      <c r="I367" t="s">
        <v>303</v>
      </c>
      <c r="J367" t="s">
        <v>539</v>
      </c>
    </row>
    <row r="368" spans="1:10">
      <c r="A368" t="s">
        <v>702</v>
      </c>
      <c r="B368" t="b">
        <v>0</v>
      </c>
      <c r="H368" t="s">
        <v>302</v>
      </c>
      <c r="I368" t="s">
        <v>303</v>
      </c>
      <c r="J368" t="s">
        <v>539</v>
      </c>
    </row>
    <row r="369" spans="1:10">
      <c r="A369" t="s">
        <v>703</v>
      </c>
      <c r="B369" t="b">
        <v>0</v>
      </c>
      <c r="H369" t="s">
        <v>302</v>
      </c>
      <c r="I369" t="s">
        <v>303</v>
      </c>
      <c r="J369" t="s">
        <v>539</v>
      </c>
    </row>
    <row r="370" spans="1:10">
      <c r="A370" t="s">
        <v>704</v>
      </c>
      <c r="B370" t="b">
        <v>0</v>
      </c>
      <c r="H370" t="s">
        <v>302</v>
      </c>
      <c r="I370" t="s">
        <v>303</v>
      </c>
      <c r="J370" t="s">
        <v>539</v>
      </c>
    </row>
    <row r="371" spans="1:10">
      <c r="A371" t="s">
        <v>705</v>
      </c>
      <c r="B371" t="b">
        <v>0</v>
      </c>
      <c r="H371" t="s">
        <v>302</v>
      </c>
      <c r="I371" t="s">
        <v>303</v>
      </c>
      <c r="J371" t="s">
        <v>539</v>
      </c>
    </row>
    <row r="372" spans="1:10">
      <c r="A372" t="s">
        <v>706</v>
      </c>
      <c r="B372" t="b">
        <v>0</v>
      </c>
      <c r="H372" t="s">
        <v>302</v>
      </c>
      <c r="I372" t="s">
        <v>303</v>
      </c>
      <c r="J372" t="s">
        <v>539</v>
      </c>
    </row>
    <row r="373" spans="1:10">
      <c r="A373" t="s">
        <v>707</v>
      </c>
      <c r="B373" t="b">
        <v>0</v>
      </c>
      <c r="H373" t="s">
        <v>302</v>
      </c>
      <c r="I373" t="s">
        <v>303</v>
      </c>
      <c r="J373" t="s">
        <v>539</v>
      </c>
    </row>
    <row r="374" spans="1:10">
      <c r="A374" t="s">
        <v>708</v>
      </c>
      <c r="B374" t="b">
        <v>0</v>
      </c>
      <c r="H374" t="s">
        <v>302</v>
      </c>
      <c r="I374" t="s">
        <v>303</v>
      </c>
      <c r="J374" t="s">
        <v>539</v>
      </c>
    </row>
    <row r="375" spans="1:10">
      <c r="A375" t="s">
        <v>709</v>
      </c>
      <c r="B375" t="b">
        <v>0</v>
      </c>
      <c r="H375" t="s">
        <v>302</v>
      </c>
      <c r="I375" t="s">
        <v>303</v>
      </c>
      <c r="J375" t="s">
        <v>539</v>
      </c>
    </row>
    <row r="376" spans="1:10">
      <c r="A376" t="s">
        <v>710</v>
      </c>
      <c r="B376" t="b">
        <v>0</v>
      </c>
      <c r="H376" t="s">
        <v>302</v>
      </c>
      <c r="I376" t="s">
        <v>303</v>
      </c>
      <c r="J376" t="s">
        <v>539</v>
      </c>
    </row>
    <row r="377" spans="1:10">
      <c r="A377" t="s">
        <v>711</v>
      </c>
      <c r="B377" t="b">
        <v>0</v>
      </c>
      <c r="H377" t="s">
        <v>302</v>
      </c>
      <c r="I377" t="s">
        <v>303</v>
      </c>
      <c r="J377" t="s">
        <v>539</v>
      </c>
    </row>
    <row r="378" spans="1:10">
      <c r="A378" t="s">
        <v>712</v>
      </c>
      <c r="B378" t="b">
        <v>0</v>
      </c>
      <c r="H378" t="s">
        <v>302</v>
      </c>
      <c r="I378" t="s">
        <v>303</v>
      </c>
      <c r="J378" t="s">
        <v>539</v>
      </c>
    </row>
    <row r="379" spans="1:10">
      <c r="A379" t="s">
        <v>713</v>
      </c>
      <c r="B379" t="b">
        <v>0</v>
      </c>
      <c r="H379" t="s">
        <v>302</v>
      </c>
      <c r="I379" t="s">
        <v>303</v>
      </c>
      <c r="J379" t="s">
        <v>539</v>
      </c>
    </row>
    <row r="380" spans="1:10">
      <c r="A380" t="s">
        <v>714</v>
      </c>
      <c r="B380" t="b">
        <v>0</v>
      </c>
      <c r="H380" t="s">
        <v>302</v>
      </c>
      <c r="I380" t="s">
        <v>303</v>
      </c>
      <c r="J380" t="s">
        <v>539</v>
      </c>
    </row>
    <row r="381" spans="1:10">
      <c r="A381" t="s">
        <v>715</v>
      </c>
      <c r="B381" t="b">
        <v>0</v>
      </c>
      <c r="H381" t="s">
        <v>302</v>
      </c>
      <c r="I381" t="s">
        <v>303</v>
      </c>
      <c r="J381" t="s">
        <v>539</v>
      </c>
    </row>
    <row r="382" spans="1:10">
      <c r="A382" t="s">
        <v>716</v>
      </c>
      <c r="B382" t="b">
        <v>0</v>
      </c>
      <c r="H382" t="s">
        <v>302</v>
      </c>
      <c r="I382" t="s">
        <v>303</v>
      </c>
      <c r="J382" t="s">
        <v>539</v>
      </c>
    </row>
    <row r="383" spans="1:10">
      <c r="A383" t="s">
        <v>717</v>
      </c>
      <c r="B383" t="b">
        <v>0</v>
      </c>
      <c r="H383" t="s">
        <v>302</v>
      </c>
      <c r="I383" t="s">
        <v>303</v>
      </c>
      <c r="J383" t="s">
        <v>539</v>
      </c>
    </row>
    <row r="384" spans="1:10">
      <c r="A384" t="s">
        <v>718</v>
      </c>
      <c r="B384" t="b">
        <v>0</v>
      </c>
      <c r="H384" t="s">
        <v>302</v>
      </c>
      <c r="I384" t="s">
        <v>303</v>
      </c>
      <c r="J384" t="s">
        <v>539</v>
      </c>
    </row>
    <row r="385" spans="1:10">
      <c r="A385" t="s">
        <v>719</v>
      </c>
      <c r="B385" t="b">
        <v>0</v>
      </c>
      <c r="H385" t="s">
        <v>302</v>
      </c>
      <c r="I385" t="s">
        <v>303</v>
      </c>
      <c r="J385" t="s">
        <v>539</v>
      </c>
    </row>
    <row r="386" spans="1:10">
      <c r="A386" t="s">
        <v>720</v>
      </c>
      <c r="B386" t="b">
        <v>0</v>
      </c>
      <c r="H386" t="s">
        <v>302</v>
      </c>
      <c r="I386" t="s">
        <v>303</v>
      </c>
      <c r="J386" t="s">
        <v>539</v>
      </c>
    </row>
    <row r="387" spans="1:10">
      <c r="A387" t="s">
        <v>721</v>
      </c>
      <c r="B387" t="b">
        <v>0</v>
      </c>
      <c r="H387" t="s">
        <v>302</v>
      </c>
      <c r="I387" t="s">
        <v>303</v>
      </c>
      <c r="J387" t="s">
        <v>539</v>
      </c>
    </row>
    <row r="388" spans="1:10">
      <c r="A388" t="s">
        <v>722</v>
      </c>
      <c r="B388" t="b">
        <v>0</v>
      </c>
      <c r="H388" t="s">
        <v>302</v>
      </c>
      <c r="I388" t="s">
        <v>303</v>
      </c>
      <c r="J388" t="s">
        <v>539</v>
      </c>
    </row>
    <row r="389" spans="1:10">
      <c r="A389" t="s">
        <v>723</v>
      </c>
      <c r="B389" t="b">
        <v>0</v>
      </c>
      <c r="H389" t="s">
        <v>302</v>
      </c>
      <c r="I389" t="s">
        <v>303</v>
      </c>
      <c r="J389" t="s">
        <v>539</v>
      </c>
    </row>
    <row r="390" spans="1:10">
      <c r="A390" t="s">
        <v>724</v>
      </c>
      <c r="B390" t="b">
        <v>0</v>
      </c>
      <c r="H390" t="s">
        <v>302</v>
      </c>
      <c r="I390" t="s">
        <v>303</v>
      </c>
      <c r="J390" t="s">
        <v>539</v>
      </c>
    </row>
    <row r="391" spans="1:10">
      <c r="A391" t="s">
        <v>725</v>
      </c>
      <c r="B391" t="b">
        <v>0</v>
      </c>
      <c r="H391" t="s">
        <v>302</v>
      </c>
      <c r="I391" t="s">
        <v>303</v>
      </c>
      <c r="J391" t="s">
        <v>539</v>
      </c>
    </row>
    <row r="392" spans="1:10">
      <c r="A392" t="s">
        <v>726</v>
      </c>
      <c r="B392" t="b">
        <v>0</v>
      </c>
      <c r="H392" t="s">
        <v>302</v>
      </c>
      <c r="I392" t="s">
        <v>303</v>
      </c>
      <c r="J392" t="s">
        <v>539</v>
      </c>
    </row>
    <row r="393" spans="1:10">
      <c r="A393" t="s">
        <v>727</v>
      </c>
      <c r="B393" t="b">
        <v>0</v>
      </c>
      <c r="H393" t="s">
        <v>302</v>
      </c>
      <c r="I393" t="s">
        <v>303</v>
      </c>
      <c r="J393" t="s">
        <v>539</v>
      </c>
    </row>
    <row r="394" spans="1:10">
      <c r="A394" t="s">
        <v>728</v>
      </c>
      <c r="B394" t="b">
        <v>0</v>
      </c>
      <c r="H394" t="s">
        <v>302</v>
      </c>
      <c r="I394" t="s">
        <v>303</v>
      </c>
      <c r="J394" t="s">
        <v>539</v>
      </c>
    </row>
    <row r="395" spans="1:10">
      <c r="A395" t="s">
        <v>729</v>
      </c>
      <c r="B395" t="b">
        <v>0</v>
      </c>
      <c r="H395" t="s">
        <v>302</v>
      </c>
      <c r="I395" t="s">
        <v>303</v>
      </c>
      <c r="J395" t="s">
        <v>539</v>
      </c>
    </row>
    <row r="396" spans="1:10">
      <c r="A396" t="s">
        <v>730</v>
      </c>
      <c r="B396" t="b">
        <v>0</v>
      </c>
      <c r="H396" t="s">
        <v>302</v>
      </c>
      <c r="I396" t="s">
        <v>303</v>
      </c>
      <c r="J396" t="s">
        <v>539</v>
      </c>
    </row>
    <row r="397" spans="1:10">
      <c r="A397" t="s">
        <v>731</v>
      </c>
      <c r="B397" t="b">
        <v>0</v>
      </c>
      <c r="H397" t="s">
        <v>302</v>
      </c>
      <c r="I397" t="s">
        <v>303</v>
      </c>
      <c r="J397" t="s">
        <v>539</v>
      </c>
    </row>
    <row r="398" spans="1:10">
      <c r="A398" t="s">
        <v>732</v>
      </c>
      <c r="B398" t="b">
        <v>0</v>
      </c>
      <c r="H398" t="s">
        <v>302</v>
      </c>
      <c r="I398" t="s">
        <v>303</v>
      </c>
      <c r="J398" t="s">
        <v>539</v>
      </c>
    </row>
    <row r="399" spans="1:10">
      <c r="A399" t="s">
        <v>733</v>
      </c>
      <c r="B399" t="b">
        <v>0</v>
      </c>
      <c r="H399" t="s">
        <v>302</v>
      </c>
      <c r="I399" t="s">
        <v>303</v>
      </c>
      <c r="J399" t="s">
        <v>539</v>
      </c>
    </row>
    <row r="400" spans="1:10">
      <c r="A400" t="s">
        <v>734</v>
      </c>
      <c r="B400" t="b">
        <v>0</v>
      </c>
      <c r="H400" t="s">
        <v>302</v>
      </c>
      <c r="I400" t="s">
        <v>303</v>
      </c>
      <c r="J400" t="s">
        <v>539</v>
      </c>
    </row>
    <row r="401" spans="1:10">
      <c r="A401" t="s">
        <v>735</v>
      </c>
      <c r="B401" t="b">
        <v>0</v>
      </c>
      <c r="H401" t="s">
        <v>302</v>
      </c>
      <c r="I401" t="s">
        <v>303</v>
      </c>
      <c r="J401" t="s">
        <v>539</v>
      </c>
    </row>
    <row r="402" spans="1:10">
      <c r="A402" t="s">
        <v>736</v>
      </c>
      <c r="B402" t="b">
        <v>0</v>
      </c>
      <c r="H402" t="s">
        <v>302</v>
      </c>
      <c r="I402" t="s">
        <v>303</v>
      </c>
      <c r="J402" t="s">
        <v>539</v>
      </c>
    </row>
    <row r="403" spans="1:10">
      <c r="A403" t="s">
        <v>737</v>
      </c>
      <c r="B403" t="b">
        <v>0</v>
      </c>
      <c r="H403" t="s">
        <v>302</v>
      </c>
      <c r="I403" t="s">
        <v>303</v>
      </c>
      <c r="J403" t="s">
        <v>539</v>
      </c>
    </row>
    <row r="404" spans="1:10">
      <c r="A404" t="s">
        <v>738</v>
      </c>
      <c r="B404" t="b">
        <v>0</v>
      </c>
      <c r="H404" t="s">
        <v>302</v>
      </c>
      <c r="I404" t="s">
        <v>303</v>
      </c>
      <c r="J404" t="s">
        <v>539</v>
      </c>
    </row>
    <row r="405" spans="1:10">
      <c r="A405" t="s">
        <v>739</v>
      </c>
      <c r="B405" t="b">
        <v>0</v>
      </c>
      <c r="H405" t="s">
        <v>302</v>
      </c>
      <c r="I405" t="s">
        <v>303</v>
      </c>
      <c r="J405" t="s">
        <v>539</v>
      </c>
    </row>
    <row r="406" spans="1:10">
      <c r="A406" t="s">
        <v>740</v>
      </c>
      <c r="B406" t="b">
        <v>0</v>
      </c>
      <c r="H406" t="s">
        <v>302</v>
      </c>
      <c r="I406" t="s">
        <v>303</v>
      </c>
      <c r="J406" t="s">
        <v>539</v>
      </c>
    </row>
    <row r="407" spans="1:10">
      <c r="A407" t="s">
        <v>741</v>
      </c>
      <c r="B407" t="b">
        <v>0</v>
      </c>
      <c r="H407" t="s">
        <v>302</v>
      </c>
      <c r="I407" t="s">
        <v>303</v>
      </c>
      <c r="J407" t="s">
        <v>539</v>
      </c>
    </row>
    <row r="408" spans="1:10">
      <c r="A408" t="s">
        <v>742</v>
      </c>
      <c r="B408" t="b">
        <v>0</v>
      </c>
      <c r="H408" t="s">
        <v>302</v>
      </c>
      <c r="I408" t="s">
        <v>303</v>
      </c>
      <c r="J408" t="s">
        <v>539</v>
      </c>
    </row>
    <row r="409" spans="1:10">
      <c r="A409" t="s">
        <v>743</v>
      </c>
      <c r="B409" t="b">
        <v>0</v>
      </c>
      <c r="H409" t="s">
        <v>302</v>
      </c>
      <c r="I409" t="s">
        <v>303</v>
      </c>
      <c r="J409" t="s">
        <v>539</v>
      </c>
    </row>
    <row r="410" spans="1:10">
      <c r="A410" t="s">
        <v>744</v>
      </c>
      <c r="B410" t="b">
        <v>0</v>
      </c>
      <c r="H410" t="s">
        <v>302</v>
      </c>
      <c r="I410" t="s">
        <v>303</v>
      </c>
      <c r="J410" t="s">
        <v>539</v>
      </c>
    </row>
    <row r="411" spans="1:10">
      <c r="A411" t="s">
        <v>745</v>
      </c>
      <c r="B411" t="b">
        <v>0</v>
      </c>
      <c r="H411" t="s">
        <v>302</v>
      </c>
      <c r="I411" t="s">
        <v>303</v>
      </c>
      <c r="J411" t="s">
        <v>539</v>
      </c>
    </row>
    <row r="412" spans="1:10">
      <c r="A412" t="s">
        <v>746</v>
      </c>
      <c r="B412" t="b">
        <v>0</v>
      </c>
      <c r="H412" t="s">
        <v>302</v>
      </c>
      <c r="I412" t="s">
        <v>303</v>
      </c>
      <c r="J412" t="s">
        <v>539</v>
      </c>
    </row>
    <row r="413" spans="1:10">
      <c r="A413" t="s">
        <v>747</v>
      </c>
      <c r="B413" t="b">
        <v>0</v>
      </c>
      <c r="H413" t="s">
        <v>302</v>
      </c>
      <c r="I413" t="s">
        <v>303</v>
      </c>
      <c r="J413" t="s">
        <v>539</v>
      </c>
    </row>
    <row r="414" spans="1:10">
      <c r="A414" t="s">
        <v>748</v>
      </c>
      <c r="B414" t="b">
        <v>0</v>
      </c>
      <c r="H414" t="s">
        <v>302</v>
      </c>
      <c r="I414" t="s">
        <v>303</v>
      </c>
      <c r="J414" t="s">
        <v>539</v>
      </c>
    </row>
    <row r="415" spans="1:10">
      <c r="A415" t="s">
        <v>749</v>
      </c>
      <c r="B415" t="b">
        <v>0</v>
      </c>
      <c r="H415" t="s">
        <v>302</v>
      </c>
      <c r="I415" t="s">
        <v>303</v>
      </c>
      <c r="J415" t="s">
        <v>539</v>
      </c>
    </row>
    <row r="416" spans="1:10">
      <c r="A416" t="s">
        <v>750</v>
      </c>
      <c r="B416" t="b">
        <v>0</v>
      </c>
      <c r="H416" t="s">
        <v>302</v>
      </c>
      <c r="I416" t="s">
        <v>303</v>
      </c>
      <c r="J416" t="s">
        <v>539</v>
      </c>
    </row>
    <row r="417" spans="1:11">
      <c r="A417" t="s">
        <v>751</v>
      </c>
      <c r="B417" t="b">
        <v>0</v>
      </c>
      <c r="H417" t="s">
        <v>302</v>
      </c>
      <c r="I417" t="s">
        <v>303</v>
      </c>
      <c r="J417" t="s">
        <v>2116</v>
      </c>
      <c r="K417">
        <v>3000</v>
      </c>
    </row>
    <row r="418" spans="1:11">
      <c r="A418" t="s">
        <v>753</v>
      </c>
      <c r="B418" t="b">
        <v>0</v>
      </c>
      <c r="H418" t="s">
        <v>301</v>
      </c>
      <c r="I418" t="s">
        <v>303</v>
      </c>
      <c r="J418" t="s">
        <v>2116</v>
      </c>
      <c r="K418">
        <v>3000</v>
      </c>
    </row>
    <row r="419" spans="1:11">
      <c r="A419" t="s">
        <v>754</v>
      </c>
      <c r="B419" t="b">
        <v>0</v>
      </c>
      <c r="H419" t="s">
        <v>301</v>
      </c>
      <c r="I419" t="s">
        <v>303</v>
      </c>
      <c r="J419" t="s">
        <v>2116</v>
      </c>
      <c r="K419">
        <v>3000</v>
      </c>
    </row>
    <row r="420" spans="1:11">
      <c r="A420" t="s">
        <v>755</v>
      </c>
      <c r="B420" t="b">
        <v>0</v>
      </c>
      <c r="H420" t="s">
        <v>301</v>
      </c>
      <c r="I420" t="s">
        <v>303</v>
      </c>
      <c r="J420" t="s">
        <v>2116</v>
      </c>
      <c r="K420">
        <v>3000</v>
      </c>
    </row>
    <row r="421" spans="1:11">
      <c r="A421" t="s">
        <v>756</v>
      </c>
      <c r="B421" t="b">
        <v>0</v>
      </c>
      <c r="H421" t="s">
        <v>340</v>
      </c>
      <c r="I421" t="s">
        <v>303</v>
      </c>
      <c r="J421" t="s">
        <v>2116</v>
      </c>
      <c r="K421">
        <v>3000</v>
      </c>
    </row>
    <row r="422" spans="1:11">
      <c r="A422" t="s">
        <v>757</v>
      </c>
      <c r="B422" t="b">
        <v>0</v>
      </c>
      <c r="H422" t="s">
        <v>301</v>
      </c>
      <c r="I422" t="s">
        <v>303</v>
      </c>
      <c r="J422" t="s">
        <v>2116</v>
      </c>
      <c r="K422">
        <v>3000</v>
      </c>
    </row>
    <row r="423" spans="1:11">
      <c r="A423" t="s">
        <v>758</v>
      </c>
      <c r="B423" t="b">
        <v>0</v>
      </c>
      <c r="H423" t="s">
        <v>301</v>
      </c>
      <c r="I423" t="s">
        <v>303</v>
      </c>
      <c r="J423" t="s">
        <v>2116</v>
      </c>
      <c r="K423">
        <v>3000</v>
      </c>
    </row>
    <row r="424" spans="1:11">
      <c r="A424" t="s">
        <v>759</v>
      </c>
      <c r="B424" t="b">
        <v>0</v>
      </c>
      <c r="H424" t="s">
        <v>301</v>
      </c>
      <c r="I424" t="s">
        <v>303</v>
      </c>
      <c r="J424" t="s">
        <v>2116</v>
      </c>
      <c r="K424">
        <v>3000</v>
      </c>
    </row>
    <row r="425" spans="1:11">
      <c r="A425" t="s">
        <v>760</v>
      </c>
      <c r="B425" t="b">
        <v>0</v>
      </c>
      <c r="H425" t="s">
        <v>301</v>
      </c>
      <c r="I425" t="s">
        <v>303</v>
      </c>
      <c r="J425" t="s">
        <v>2116</v>
      </c>
      <c r="K425">
        <v>3000</v>
      </c>
    </row>
    <row r="426" spans="1:11">
      <c r="A426" t="s">
        <v>761</v>
      </c>
      <c r="B426" t="b">
        <v>0</v>
      </c>
      <c r="H426" t="s">
        <v>301</v>
      </c>
      <c r="I426" t="s">
        <v>303</v>
      </c>
      <c r="J426" t="s">
        <v>2116</v>
      </c>
      <c r="K426">
        <v>3000</v>
      </c>
    </row>
    <row r="427" spans="1:11">
      <c r="A427" t="s">
        <v>762</v>
      </c>
      <c r="B427" t="b">
        <v>0</v>
      </c>
      <c r="H427" t="s">
        <v>302</v>
      </c>
      <c r="I427" t="s">
        <v>303</v>
      </c>
      <c r="J427" t="s">
        <v>411</v>
      </c>
    </row>
    <row r="428" spans="1:11">
      <c r="A428" t="s">
        <v>763</v>
      </c>
      <c r="B428" t="b">
        <v>0</v>
      </c>
      <c r="H428" t="s">
        <v>302</v>
      </c>
      <c r="I428" t="s">
        <v>303</v>
      </c>
      <c r="J428" t="s">
        <v>411</v>
      </c>
    </row>
    <row r="429" spans="1:11">
      <c r="A429" t="s">
        <v>764</v>
      </c>
      <c r="B429" t="b">
        <v>0</v>
      </c>
      <c r="H429" t="s">
        <v>302</v>
      </c>
      <c r="I429" t="s">
        <v>303</v>
      </c>
      <c r="J429" t="s">
        <v>411</v>
      </c>
    </row>
    <row r="430" spans="1:11">
      <c r="A430" t="s">
        <v>765</v>
      </c>
      <c r="B430" t="b">
        <v>0</v>
      </c>
      <c r="H430" t="s">
        <v>302</v>
      </c>
      <c r="I430" t="s">
        <v>303</v>
      </c>
      <c r="J430" t="s">
        <v>411</v>
      </c>
    </row>
    <row r="431" spans="1:11">
      <c r="A431" t="s">
        <v>766</v>
      </c>
      <c r="B431" t="b">
        <v>0</v>
      </c>
      <c r="H431" t="s">
        <v>302</v>
      </c>
      <c r="I431" t="s">
        <v>303</v>
      </c>
      <c r="J431" t="s">
        <v>411</v>
      </c>
    </row>
    <row r="432" spans="1:11">
      <c r="A432" t="s">
        <v>767</v>
      </c>
      <c r="B432" t="b">
        <v>0</v>
      </c>
      <c r="H432" t="s">
        <v>302</v>
      </c>
      <c r="I432" t="s">
        <v>303</v>
      </c>
      <c r="J432" t="s">
        <v>411</v>
      </c>
    </row>
    <row r="433" spans="1:10">
      <c r="A433" t="s">
        <v>768</v>
      </c>
      <c r="B433" t="b">
        <v>0</v>
      </c>
      <c r="H433" t="s">
        <v>302</v>
      </c>
      <c r="I433" t="s">
        <v>303</v>
      </c>
      <c r="J433" t="s">
        <v>411</v>
      </c>
    </row>
    <row r="434" spans="1:10">
      <c r="A434" t="s">
        <v>769</v>
      </c>
      <c r="B434" t="b">
        <v>0</v>
      </c>
      <c r="H434" t="s">
        <v>302</v>
      </c>
      <c r="I434" t="s">
        <v>303</v>
      </c>
      <c r="J434" t="s">
        <v>411</v>
      </c>
    </row>
    <row r="435" spans="1:10">
      <c r="A435" t="s">
        <v>770</v>
      </c>
      <c r="B435" t="b">
        <v>0</v>
      </c>
      <c r="H435" t="s">
        <v>302</v>
      </c>
      <c r="I435" t="s">
        <v>303</v>
      </c>
      <c r="J435" t="s">
        <v>411</v>
      </c>
    </row>
    <row r="436" spans="1:10">
      <c r="A436" t="s">
        <v>771</v>
      </c>
      <c r="B436" t="b">
        <v>0</v>
      </c>
      <c r="H436" t="s">
        <v>302</v>
      </c>
      <c r="I436" t="s">
        <v>303</v>
      </c>
      <c r="J436" t="s">
        <v>411</v>
      </c>
    </row>
    <row r="437" spans="1:10">
      <c r="A437" t="s">
        <v>772</v>
      </c>
      <c r="B437" t="b">
        <v>0</v>
      </c>
      <c r="H437" t="s">
        <v>302</v>
      </c>
      <c r="I437" t="s">
        <v>303</v>
      </c>
      <c r="J437" t="s">
        <v>411</v>
      </c>
    </row>
    <row r="438" spans="1:10">
      <c r="A438" t="s">
        <v>773</v>
      </c>
      <c r="B438" t="b">
        <v>0</v>
      </c>
      <c r="H438" t="s">
        <v>302</v>
      </c>
      <c r="I438" t="s">
        <v>303</v>
      </c>
      <c r="J438" t="s">
        <v>411</v>
      </c>
    </row>
    <row r="439" spans="1:10">
      <c r="A439" t="s">
        <v>774</v>
      </c>
      <c r="B439" t="b">
        <v>0</v>
      </c>
      <c r="H439" t="s">
        <v>302</v>
      </c>
      <c r="I439" t="s">
        <v>303</v>
      </c>
      <c r="J439" t="s">
        <v>411</v>
      </c>
    </row>
    <row r="440" spans="1:10">
      <c r="A440" t="s">
        <v>775</v>
      </c>
      <c r="B440" t="b">
        <v>0</v>
      </c>
      <c r="H440" t="s">
        <v>302</v>
      </c>
      <c r="I440" t="s">
        <v>303</v>
      </c>
      <c r="J440" t="s">
        <v>539</v>
      </c>
    </row>
    <row r="441" spans="1:10">
      <c r="A441" t="s">
        <v>776</v>
      </c>
      <c r="B441" t="b">
        <v>0</v>
      </c>
      <c r="H441" t="s">
        <v>302</v>
      </c>
      <c r="I441" t="s">
        <v>303</v>
      </c>
      <c r="J441" t="s">
        <v>518</v>
      </c>
    </row>
    <row r="442" spans="1:10">
      <c r="A442" t="s">
        <v>777</v>
      </c>
      <c r="B442" t="b">
        <v>0</v>
      </c>
      <c r="H442" t="s">
        <v>302</v>
      </c>
      <c r="I442" t="s">
        <v>303</v>
      </c>
      <c r="J442" t="s">
        <v>518</v>
      </c>
    </row>
    <row r="443" spans="1:10">
      <c r="A443" t="s">
        <v>778</v>
      </c>
      <c r="B443" t="b">
        <v>0</v>
      </c>
      <c r="H443" t="s">
        <v>302</v>
      </c>
      <c r="I443" t="s">
        <v>303</v>
      </c>
      <c r="J443" t="s">
        <v>518</v>
      </c>
    </row>
    <row r="444" spans="1:10">
      <c r="A444" t="s">
        <v>779</v>
      </c>
      <c r="B444" t="b">
        <v>0</v>
      </c>
      <c r="H444" t="s">
        <v>302</v>
      </c>
      <c r="I444" t="s">
        <v>303</v>
      </c>
      <c r="J444" t="s">
        <v>518</v>
      </c>
    </row>
    <row r="445" spans="1:10">
      <c r="A445" t="s">
        <v>780</v>
      </c>
      <c r="B445" t="b">
        <v>0</v>
      </c>
      <c r="H445" t="s">
        <v>302</v>
      </c>
      <c r="I445" t="s">
        <v>303</v>
      </c>
      <c r="J445" t="s">
        <v>518</v>
      </c>
    </row>
    <row r="446" spans="1:10">
      <c r="A446" t="s">
        <v>781</v>
      </c>
      <c r="B446" t="b">
        <v>0</v>
      </c>
      <c r="H446" t="s">
        <v>302</v>
      </c>
      <c r="I446" t="s">
        <v>303</v>
      </c>
      <c r="J446" t="s">
        <v>518</v>
      </c>
    </row>
    <row r="447" spans="1:10">
      <c r="A447" t="s">
        <v>782</v>
      </c>
      <c r="B447" t="b">
        <v>0</v>
      </c>
      <c r="H447" t="s">
        <v>302</v>
      </c>
      <c r="I447" t="s">
        <v>303</v>
      </c>
      <c r="J447" t="s">
        <v>518</v>
      </c>
    </row>
    <row r="448" spans="1:10">
      <c r="A448" t="s">
        <v>783</v>
      </c>
      <c r="B448" t="b">
        <v>0</v>
      </c>
      <c r="H448" t="s">
        <v>302</v>
      </c>
      <c r="I448" t="s">
        <v>303</v>
      </c>
      <c r="J448" t="s">
        <v>518</v>
      </c>
    </row>
    <row r="449" spans="1:10">
      <c r="A449" t="s">
        <v>784</v>
      </c>
      <c r="B449" t="b">
        <v>0</v>
      </c>
      <c r="H449" t="s">
        <v>302</v>
      </c>
      <c r="I449" t="s">
        <v>303</v>
      </c>
      <c r="J449" t="s">
        <v>518</v>
      </c>
    </row>
    <row r="450" spans="1:10">
      <c r="A450" t="s">
        <v>785</v>
      </c>
      <c r="B450" t="b">
        <v>0</v>
      </c>
      <c r="H450" t="s">
        <v>302</v>
      </c>
      <c r="I450" t="s">
        <v>303</v>
      </c>
      <c r="J450" t="s">
        <v>518</v>
      </c>
    </row>
    <row r="451" spans="1:10">
      <c r="A451" t="s">
        <v>786</v>
      </c>
      <c r="B451" t="b">
        <v>0</v>
      </c>
      <c r="H451" t="s">
        <v>302</v>
      </c>
      <c r="I451" t="s">
        <v>303</v>
      </c>
      <c r="J451" t="s">
        <v>518</v>
      </c>
    </row>
    <row r="452" spans="1:10">
      <c r="A452" t="s">
        <v>787</v>
      </c>
      <c r="B452" t="b">
        <v>0</v>
      </c>
      <c r="H452" t="s">
        <v>302</v>
      </c>
      <c r="I452" t="s">
        <v>303</v>
      </c>
      <c r="J452" t="s">
        <v>518</v>
      </c>
    </row>
    <row r="453" spans="1:10">
      <c r="A453" t="s">
        <v>788</v>
      </c>
      <c r="B453" t="b">
        <v>0</v>
      </c>
      <c r="H453" t="s">
        <v>302</v>
      </c>
      <c r="I453" t="s">
        <v>303</v>
      </c>
      <c r="J453" t="s">
        <v>518</v>
      </c>
    </row>
    <row r="454" spans="1:10">
      <c r="A454" t="s">
        <v>789</v>
      </c>
      <c r="B454" t="b">
        <v>0</v>
      </c>
      <c r="H454" t="s">
        <v>302</v>
      </c>
      <c r="I454" t="s">
        <v>303</v>
      </c>
      <c r="J454" t="s">
        <v>539</v>
      </c>
    </row>
    <row r="455" spans="1:10">
      <c r="A455" t="s">
        <v>790</v>
      </c>
      <c r="B455" t="b">
        <v>0</v>
      </c>
      <c r="H455" t="s">
        <v>302</v>
      </c>
      <c r="I455" t="s">
        <v>303</v>
      </c>
      <c r="J455" t="s">
        <v>539</v>
      </c>
    </row>
    <row r="456" spans="1:10">
      <c r="A456" t="s">
        <v>791</v>
      </c>
      <c r="B456" t="b">
        <v>0</v>
      </c>
      <c r="H456" t="s">
        <v>302</v>
      </c>
      <c r="I456" t="s">
        <v>303</v>
      </c>
      <c r="J456" t="s">
        <v>539</v>
      </c>
    </row>
    <row r="457" spans="1:10">
      <c r="A457" t="s">
        <v>792</v>
      </c>
      <c r="B457" t="b">
        <v>0</v>
      </c>
      <c r="H457" t="s">
        <v>302</v>
      </c>
      <c r="I457" t="s">
        <v>303</v>
      </c>
      <c r="J457" t="s">
        <v>539</v>
      </c>
    </row>
    <row r="458" spans="1:10">
      <c r="A458" t="s">
        <v>793</v>
      </c>
      <c r="B458" t="b">
        <v>0</v>
      </c>
      <c r="H458" t="s">
        <v>302</v>
      </c>
      <c r="I458" t="s">
        <v>303</v>
      </c>
      <c r="J458" t="s">
        <v>304</v>
      </c>
    </row>
    <row r="459" spans="1:10">
      <c r="A459" t="s">
        <v>794</v>
      </c>
      <c r="B459" t="b">
        <v>0</v>
      </c>
      <c r="H459" t="s">
        <v>302</v>
      </c>
      <c r="I459" t="s">
        <v>303</v>
      </c>
      <c r="J459" t="s">
        <v>304</v>
      </c>
    </row>
    <row r="460" spans="1:10">
      <c r="A460" t="s">
        <v>795</v>
      </c>
      <c r="B460" t="b">
        <v>0</v>
      </c>
      <c r="H460" t="s">
        <v>302</v>
      </c>
      <c r="I460" t="s">
        <v>303</v>
      </c>
      <c r="J460" t="s">
        <v>304</v>
      </c>
    </row>
    <row r="461" spans="1:10">
      <c r="A461" t="s">
        <v>796</v>
      </c>
      <c r="B461" t="b">
        <v>0</v>
      </c>
      <c r="H461" t="s">
        <v>302</v>
      </c>
      <c r="I461" t="s">
        <v>303</v>
      </c>
      <c r="J461" t="s">
        <v>304</v>
      </c>
    </row>
    <row r="462" spans="1:10">
      <c r="A462" t="s">
        <v>797</v>
      </c>
      <c r="B462" t="b">
        <v>0</v>
      </c>
      <c r="H462" t="s">
        <v>302</v>
      </c>
      <c r="I462" t="s">
        <v>303</v>
      </c>
      <c r="J462" t="s">
        <v>304</v>
      </c>
    </row>
    <row r="463" spans="1:10">
      <c r="A463" t="s">
        <v>798</v>
      </c>
      <c r="B463" t="b">
        <v>0</v>
      </c>
      <c r="H463" t="s">
        <v>302</v>
      </c>
      <c r="I463" t="s">
        <v>303</v>
      </c>
      <c r="J463" t="s">
        <v>304</v>
      </c>
    </row>
    <row r="464" spans="1:10">
      <c r="A464" t="s">
        <v>799</v>
      </c>
      <c r="B464" t="b">
        <v>0</v>
      </c>
      <c r="H464" t="s">
        <v>302</v>
      </c>
      <c r="I464" t="s">
        <v>303</v>
      </c>
      <c r="J464" t="s">
        <v>304</v>
      </c>
    </row>
    <row r="465" spans="1:10">
      <c r="A465" t="s">
        <v>800</v>
      </c>
      <c r="B465" t="b">
        <v>0</v>
      </c>
      <c r="H465" t="s">
        <v>302</v>
      </c>
      <c r="I465" t="s">
        <v>303</v>
      </c>
      <c r="J465" t="s">
        <v>539</v>
      </c>
    </row>
    <row r="466" spans="1:10">
      <c r="A466" t="s">
        <v>801</v>
      </c>
      <c r="B466" t="b">
        <v>0</v>
      </c>
      <c r="C466" t="s">
        <v>301</v>
      </c>
      <c r="D466" t="s">
        <v>322</v>
      </c>
      <c r="E466" t="s">
        <v>323</v>
      </c>
      <c r="H466" t="s">
        <v>302</v>
      </c>
      <c r="I466" t="s">
        <v>303</v>
      </c>
      <c r="J466" t="s">
        <v>539</v>
      </c>
    </row>
    <row r="467" spans="1:10">
      <c r="A467" t="s">
        <v>802</v>
      </c>
      <c r="B467" t="b">
        <v>0</v>
      </c>
      <c r="C467" t="s">
        <v>301</v>
      </c>
      <c r="D467" t="s">
        <v>301</v>
      </c>
      <c r="E467" t="s">
        <v>301</v>
      </c>
      <c r="H467" t="s">
        <v>302</v>
      </c>
      <c r="I467" t="s">
        <v>303</v>
      </c>
      <c r="J467" t="s">
        <v>539</v>
      </c>
    </row>
    <row r="468" spans="1:10">
      <c r="A468" t="s">
        <v>803</v>
      </c>
      <c r="B468" t="b">
        <v>0</v>
      </c>
      <c r="C468" t="s">
        <v>301</v>
      </c>
      <c r="D468" t="s">
        <v>322</v>
      </c>
      <c r="E468" t="s">
        <v>323</v>
      </c>
      <c r="H468" t="s">
        <v>302</v>
      </c>
      <c r="I468" t="s">
        <v>303</v>
      </c>
      <c r="J468" t="s">
        <v>539</v>
      </c>
    </row>
    <row r="469" spans="1:10">
      <c r="A469" t="s">
        <v>804</v>
      </c>
      <c r="B469" t="b">
        <v>0</v>
      </c>
      <c r="C469" t="s">
        <v>301</v>
      </c>
      <c r="D469" t="s">
        <v>322</v>
      </c>
      <c r="E469" t="s">
        <v>323</v>
      </c>
      <c r="H469" t="s">
        <v>302</v>
      </c>
      <c r="I469" t="s">
        <v>303</v>
      </c>
      <c r="J469" t="s">
        <v>539</v>
      </c>
    </row>
    <row r="470" spans="1:10">
      <c r="A470" t="s">
        <v>805</v>
      </c>
      <c r="B470" t="b">
        <v>0</v>
      </c>
      <c r="C470" t="s">
        <v>301</v>
      </c>
      <c r="D470" t="s">
        <v>322</v>
      </c>
      <c r="E470" t="s">
        <v>323</v>
      </c>
      <c r="H470" t="s">
        <v>302</v>
      </c>
      <c r="I470" t="s">
        <v>303</v>
      </c>
      <c r="J470" t="s">
        <v>539</v>
      </c>
    </row>
    <row r="471" spans="1:10">
      <c r="A471" t="s">
        <v>806</v>
      </c>
      <c r="B471" t="b">
        <v>0</v>
      </c>
      <c r="H471" t="s">
        <v>302</v>
      </c>
      <c r="I471" t="s">
        <v>303</v>
      </c>
      <c r="J471" t="s">
        <v>539</v>
      </c>
    </row>
    <row r="472" spans="1:10">
      <c r="A472" t="s">
        <v>807</v>
      </c>
      <c r="B472" t="b">
        <v>0</v>
      </c>
      <c r="H472" t="s">
        <v>302</v>
      </c>
      <c r="I472" t="s">
        <v>303</v>
      </c>
      <c r="J472" t="s">
        <v>539</v>
      </c>
    </row>
    <row r="473" spans="1:10">
      <c r="A473" t="s">
        <v>808</v>
      </c>
      <c r="B473" t="b">
        <v>0</v>
      </c>
      <c r="H473" t="s">
        <v>302</v>
      </c>
      <c r="I473" t="s">
        <v>303</v>
      </c>
      <c r="J473" t="s">
        <v>539</v>
      </c>
    </row>
    <row r="474" spans="1:10">
      <c r="A474" t="s">
        <v>809</v>
      </c>
      <c r="B474" t="b">
        <v>0</v>
      </c>
      <c r="H474" t="s">
        <v>302</v>
      </c>
      <c r="I474" t="s">
        <v>303</v>
      </c>
      <c r="J474" t="s">
        <v>539</v>
      </c>
    </row>
    <row r="475" spans="1:10">
      <c r="A475" t="s">
        <v>810</v>
      </c>
      <c r="B475" t="b">
        <v>0</v>
      </c>
      <c r="H475" t="s">
        <v>302</v>
      </c>
      <c r="I475" t="s">
        <v>303</v>
      </c>
      <c r="J475" t="s">
        <v>539</v>
      </c>
    </row>
    <row r="476" spans="1:10">
      <c r="A476" t="s">
        <v>811</v>
      </c>
      <c r="B476" t="b">
        <v>0</v>
      </c>
      <c r="H476" t="s">
        <v>302</v>
      </c>
      <c r="I476" t="s">
        <v>303</v>
      </c>
      <c r="J476" t="s">
        <v>539</v>
      </c>
    </row>
    <row r="477" spans="1:10">
      <c r="A477" t="s">
        <v>812</v>
      </c>
      <c r="B477" t="b">
        <v>0</v>
      </c>
      <c r="H477" t="s">
        <v>302</v>
      </c>
      <c r="I477" t="s">
        <v>303</v>
      </c>
      <c r="J477" t="s">
        <v>539</v>
      </c>
    </row>
    <row r="478" spans="1:10">
      <c r="A478" t="s">
        <v>813</v>
      </c>
      <c r="B478" t="b">
        <v>0</v>
      </c>
      <c r="H478" t="s">
        <v>302</v>
      </c>
      <c r="I478" t="s">
        <v>303</v>
      </c>
      <c r="J478" t="s">
        <v>539</v>
      </c>
    </row>
    <row r="479" spans="1:10">
      <c r="A479" t="s">
        <v>814</v>
      </c>
      <c r="B479" t="b">
        <v>0</v>
      </c>
      <c r="H479" t="s">
        <v>302</v>
      </c>
      <c r="I479" t="s">
        <v>303</v>
      </c>
      <c r="J479" t="s">
        <v>539</v>
      </c>
    </row>
    <row r="480" spans="1:10">
      <c r="A480" t="s">
        <v>815</v>
      </c>
      <c r="B480" t="b">
        <v>0</v>
      </c>
      <c r="H480" t="s">
        <v>302</v>
      </c>
      <c r="I480" t="s">
        <v>303</v>
      </c>
      <c r="J480" t="s">
        <v>539</v>
      </c>
    </row>
    <row r="481" spans="1:10">
      <c r="A481" t="s">
        <v>816</v>
      </c>
      <c r="B481" t="b">
        <v>0</v>
      </c>
      <c r="H481" t="s">
        <v>302</v>
      </c>
      <c r="I481" t="s">
        <v>303</v>
      </c>
      <c r="J481" t="s">
        <v>539</v>
      </c>
    </row>
    <row r="482" spans="1:10">
      <c r="A482" t="s">
        <v>817</v>
      </c>
      <c r="B482" t="b">
        <v>0</v>
      </c>
      <c r="H482" t="s">
        <v>302</v>
      </c>
      <c r="I482" t="s">
        <v>303</v>
      </c>
      <c r="J482" t="s">
        <v>539</v>
      </c>
    </row>
    <row r="483" spans="1:10">
      <c r="A483" t="s">
        <v>818</v>
      </c>
      <c r="B483" t="b">
        <v>0</v>
      </c>
      <c r="H483" t="s">
        <v>302</v>
      </c>
      <c r="I483" t="s">
        <v>303</v>
      </c>
      <c r="J483" t="s">
        <v>539</v>
      </c>
    </row>
    <row r="484" spans="1:10">
      <c r="A484" t="s">
        <v>819</v>
      </c>
      <c r="B484" t="b">
        <v>0</v>
      </c>
      <c r="H484" t="s">
        <v>302</v>
      </c>
      <c r="I484" t="s">
        <v>303</v>
      </c>
      <c r="J484" t="s">
        <v>539</v>
      </c>
    </row>
    <row r="485" spans="1:10">
      <c r="A485" t="s">
        <v>820</v>
      </c>
      <c r="B485" t="b">
        <v>0</v>
      </c>
      <c r="H485" t="s">
        <v>302</v>
      </c>
      <c r="I485" t="s">
        <v>303</v>
      </c>
      <c r="J485" t="s">
        <v>539</v>
      </c>
    </row>
    <row r="486" spans="1:10">
      <c r="A486" t="s">
        <v>821</v>
      </c>
      <c r="B486" t="b">
        <v>0</v>
      </c>
      <c r="H486" t="s">
        <v>302</v>
      </c>
      <c r="I486" t="s">
        <v>303</v>
      </c>
      <c r="J486" t="s">
        <v>539</v>
      </c>
    </row>
    <row r="487" spans="1:10">
      <c r="A487" t="s">
        <v>822</v>
      </c>
      <c r="B487" t="b">
        <v>0</v>
      </c>
      <c r="H487" t="s">
        <v>302</v>
      </c>
      <c r="I487" t="s">
        <v>303</v>
      </c>
      <c r="J487" t="s">
        <v>539</v>
      </c>
    </row>
    <row r="488" spans="1:10">
      <c r="A488" t="s">
        <v>823</v>
      </c>
      <c r="B488" t="b">
        <v>0</v>
      </c>
      <c r="H488" t="s">
        <v>302</v>
      </c>
      <c r="I488" t="s">
        <v>303</v>
      </c>
      <c r="J488" t="s">
        <v>539</v>
      </c>
    </row>
    <row r="489" spans="1:10">
      <c r="A489" t="s">
        <v>824</v>
      </c>
      <c r="B489" t="b">
        <v>0</v>
      </c>
      <c r="H489" t="s">
        <v>302</v>
      </c>
      <c r="I489" t="s">
        <v>303</v>
      </c>
      <c r="J489" t="s">
        <v>539</v>
      </c>
    </row>
    <row r="490" spans="1:10">
      <c r="A490" t="s">
        <v>825</v>
      </c>
      <c r="B490" t="b">
        <v>0</v>
      </c>
      <c r="H490" t="s">
        <v>302</v>
      </c>
      <c r="I490" t="s">
        <v>303</v>
      </c>
      <c r="J490" t="s">
        <v>539</v>
      </c>
    </row>
    <row r="491" spans="1:10">
      <c r="A491" t="s">
        <v>826</v>
      </c>
      <c r="B491" t="b">
        <v>0</v>
      </c>
      <c r="H491" t="s">
        <v>302</v>
      </c>
      <c r="I491" t="s">
        <v>303</v>
      </c>
      <c r="J491" t="s">
        <v>539</v>
      </c>
    </row>
    <row r="492" spans="1:10">
      <c r="A492" t="s">
        <v>827</v>
      </c>
      <c r="B492" t="b">
        <v>0</v>
      </c>
      <c r="H492" t="s">
        <v>302</v>
      </c>
      <c r="I492" t="s">
        <v>303</v>
      </c>
      <c r="J492" t="s">
        <v>539</v>
      </c>
    </row>
    <row r="493" spans="1:10">
      <c r="A493" t="s">
        <v>828</v>
      </c>
      <c r="B493" t="b">
        <v>0</v>
      </c>
      <c r="H493" t="s">
        <v>302</v>
      </c>
      <c r="I493" t="s">
        <v>303</v>
      </c>
      <c r="J493" t="s">
        <v>539</v>
      </c>
    </row>
    <row r="494" spans="1:10">
      <c r="A494" t="s">
        <v>829</v>
      </c>
      <c r="B494" t="b">
        <v>0</v>
      </c>
      <c r="H494" t="s">
        <v>302</v>
      </c>
      <c r="I494" t="s">
        <v>303</v>
      </c>
      <c r="J494" t="s">
        <v>539</v>
      </c>
    </row>
    <row r="495" spans="1:10">
      <c r="A495" t="s">
        <v>830</v>
      </c>
      <c r="B495" t="b">
        <v>0</v>
      </c>
      <c r="H495" t="s">
        <v>302</v>
      </c>
      <c r="I495" t="s">
        <v>303</v>
      </c>
      <c r="J495" t="s">
        <v>539</v>
      </c>
    </row>
    <row r="496" spans="1:10">
      <c r="A496" t="s">
        <v>831</v>
      </c>
      <c r="B496" t="b">
        <v>0</v>
      </c>
      <c r="H496" t="s">
        <v>302</v>
      </c>
      <c r="I496" t="s">
        <v>303</v>
      </c>
      <c r="J496" t="s">
        <v>539</v>
      </c>
    </row>
    <row r="497" spans="1:10">
      <c r="A497" t="s">
        <v>832</v>
      </c>
      <c r="B497" t="b">
        <v>0</v>
      </c>
      <c r="H497" t="s">
        <v>302</v>
      </c>
      <c r="I497" t="s">
        <v>303</v>
      </c>
      <c r="J497" t="s">
        <v>539</v>
      </c>
    </row>
    <row r="498" spans="1:10">
      <c r="A498" t="s">
        <v>833</v>
      </c>
      <c r="B498" t="b">
        <v>0</v>
      </c>
      <c r="H498" t="s">
        <v>302</v>
      </c>
      <c r="I498" t="s">
        <v>303</v>
      </c>
      <c r="J498" t="s">
        <v>539</v>
      </c>
    </row>
    <row r="499" spans="1:10">
      <c r="A499" t="s">
        <v>834</v>
      </c>
      <c r="B499" t="b">
        <v>0</v>
      </c>
      <c r="H499" t="s">
        <v>302</v>
      </c>
      <c r="I499" t="s">
        <v>303</v>
      </c>
      <c r="J499" t="s">
        <v>539</v>
      </c>
    </row>
    <row r="500" spans="1:10">
      <c r="A500" t="s">
        <v>835</v>
      </c>
      <c r="B500" t="b">
        <v>0</v>
      </c>
      <c r="H500" t="s">
        <v>302</v>
      </c>
      <c r="I500" t="s">
        <v>303</v>
      </c>
      <c r="J500" t="s">
        <v>539</v>
      </c>
    </row>
    <row r="501" spans="1:10">
      <c r="A501" t="s">
        <v>836</v>
      </c>
      <c r="B501" t="b">
        <v>0</v>
      </c>
      <c r="H501" t="s">
        <v>302</v>
      </c>
      <c r="I501" t="s">
        <v>303</v>
      </c>
      <c r="J501" t="s">
        <v>539</v>
      </c>
    </row>
    <row r="502" spans="1:10">
      <c r="A502" t="s">
        <v>837</v>
      </c>
      <c r="B502" t="b">
        <v>0</v>
      </c>
      <c r="H502" t="s">
        <v>302</v>
      </c>
      <c r="I502" t="s">
        <v>303</v>
      </c>
      <c r="J502" t="s">
        <v>539</v>
      </c>
    </row>
    <row r="503" spans="1:10">
      <c r="A503" t="s">
        <v>838</v>
      </c>
      <c r="B503" t="b">
        <v>0</v>
      </c>
      <c r="C503" t="s">
        <v>340</v>
      </c>
      <c r="D503" t="s">
        <v>340</v>
      </c>
      <c r="E503" t="s">
        <v>340</v>
      </c>
      <c r="H503" t="s">
        <v>302</v>
      </c>
      <c r="I503" t="s">
        <v>303</v>
      </c>
      <c r="J503" t="s">
        <v>539</v>
      </c>
    </row>
    <row r="504" spans="1:10">
      <c r="A504" t="s">
        <v>839</v>
      </c>
      <c r="B504" t="b">
        <v>0</v>
      </c>
      <c r="H504" t="s">
        <v>302</v>
      </c>
      <c r="I504" t="s">
        <v>303</v>
      </c>
      <c r="J504" t="s">
        <v>539</v>
      </c>
    </row>
    <row r="505" spans="1:10">
      <c r="A505" t="s">
        <v>840</v>
      </c>
      <c r="B505" t="b">
        <v>0</v>
      </c>
      <c r="H505" t="s">
        <v>302</v>
      </c>
      <c r="I505" t="s">
        <v>303</v>
      </c>
      <c r="J505" t="s">
        <v>539</v>
      </c>
    </row>
    <row r="506" spans="1:10">
      <c r="A506" t="s">
        <v>841</v>
      </c>
      <c r="B506" t="b">
        <v>0</v>
      </c>
      <c r="H506" t="s">
        <v>302</v>
      </c>
      <c r="I506" t="s">
        <v>303</v>
      </c>
      <c r="J506" t="s">
        <v>539</v>
      </c>
    </row>
    <row r="507" spans="1:10">
      <c r="A507" t="s">
        <v>842</v>
      </c>
      <c r="B507" t="b">
        <v>0</v>
      </c>
      <c r="H507" t="s">
        <v>302</v>
      </c>
      <c r="I507" t="s">
        <v>303</v>
      </c>
      <c r="J507" t="s">
        <v>539</v>
      </c>
    </row>
    <row r="508" spans="1:10">
      <c r="A508" t="s">
        <v>843</v>
      </c>
      <c r="B508" t="b">
        <v>0</v>
      </c>
      <c r="H508" t="s">
        <v>302</v>
      </c>
      <c r="I508" t="s">
        <v>303</v>
      </c>
      <c r="J508" t="s">
        <v>539</v>
      </c>
    </row>
    <row r="509" spans="1:10">
      <c r="A509" t="s">
        <v>844</v>
      </c>
      <c r="B509" t="b">
        <v>0</v>
      </c>
      <c r="H509" t="s">
        <v>302</v>
      </c>
      <c r="I509" t="s">
        <v>303</v>
      </c>
      <c r="J509" t="s">
        <v>539</v>
      </c>
    </row>
    <row r="510" spans="1:10">
      <c r="A510" t="s">
        <v>845</v>
      </c>
      <c r="B510" t="b">
        <v>0</v>
      </c>
      <c r="H510" t="s">
        <v>302</v>
      </c>
      <c r="I510" t="s">
        <v>303</v>
      </c>
      <c r="J510" t="s">
        <v>539</v>
      </c>
    </row>
    <row r="511" spans="1:10">
      <c r="A511" t="s">
        <v>846</v>
      </c>
      <c r="B511" t="b">
        <v>0</v>
      </c>
      <c r="H511" t="s">
        <v>302</v>
      </c>
      <c r="I511" t="s">
        <v>303</v>
      </c>
      <c r="J511" t="s">
        <v>539</v>
      </c>
    </row>
    <row r="512" spans="1:10">
      <c r="A512" t="s">
        <v>847</v>
      </c>
      <c r="B512" t="b">
        <v>0</v>
      </c>
      <c r="C512" t="s">
        <v>301</v>
      </c>
      <c r="D512" t="s">
        <v>389</v>
      </c>
      <c r="E512" t="s">
        <v>301</v>
      </c>
      <c r="H512" t="s">
        <v>302</v>
      </c>
      <c r="I512" t="s">
        <v>303</v>
      </c>
      <c r="J512" t="s">
        <v>539</v>
      </c>
    </row>
    <row r="513" spans="1:10">
      <c r="A513" t="s">
        <v>848</v>
      </c>
      <c r="B513" t="b">
        <v>0</v>
      </c>
      <c r="H513" t="s">
        <v>302</v>
      </c>
      <c r="I513" t="s">
        <v>303</v>
      </c>
      <c r="J513" t="s">
        <v>539</v>
      </c>
    </row>
    <row r="514" spans="1:10">
      <c r="A514" t="s">
        <v>849</v>
      </c>
      <c r="B514" t="b">
        <v>0</v>
      </c>
      <c r="H514" t="s">
        <v>302</v>
      </c>
      <c r="I514" t="s">
        <v>303</v>
      </c>
      <c r="J514" t="s">
        <v>539</v>
      </c>
    </row>
    <row r="515" spans="1:10">
      <c r="A515" t="s">
        <v>850</v>
      </c>
      <c r="B515" t="b">
        <v>0</v>
      </c>
      <c r="H515" t="s">
        <v>302</v>
      </c>
      <c r="I515" t="s">
        <v>303</v>
      </c>
      <c r="J515" t="s">
        <v>518</v>
      </c>
    </row>
    <row r="516" spans="1:10">
      <c r="A516" t="s">
        <v>851</v>
      </c>
      <c r="B516" t="b">
        <v>0</v>
      </c>
      <c r="C516" t="s">
        <v>340</v>
      </c>
      <c r="D516" t="s">
        <v>340</v>
      </c>
      <c r="E516" t="s">
        <v>340</v>
      </c>
      <c r="H516" t="s">
        <v>302</v>
      </c>
      <c r="I516" t="s">
        <v>303</v>
      </c>
      <c r="J516" t="s">
        <v>518</v>
      </c>
    </row>
    <row r="517" spans="1:10">
      <c r="A517" t="s">
        <v>852</v>
      </c>
      <c r="B517" t="b">
        <v>0</v>
      </c>
      <c r="H517" t="s">
        <v>302</v>
      </c>
      <c r="I517" t="s">
        <v>303</v>
      </c>
      <c r="J517" t="s">
        <v>518</v>
      </c>
    </row>
    <row r="518" spans="1:10">
      <c r="A518" t="s">
        <v>853</v>
      </c>
      <c r="B518" t="b">
        <v>0</v>
      </c>
      <c r="H518" t="s">
        <v>302</v>
      </c>
      <c r="I518" t="s">
        <v>303</v>
      </c>
      <c r="J518" t="s">
        <v>518</v>
      </c>
    </row>
    <row r="519" spans="1:10">
      <c r="A519" t="s">
        <v>854</v>
      </c>
      <c r="B519" t="b">
        <v>0</v>
      </c>
      <c r="H519" t="s">
        <v>302</v>
      </c>
      <c r="I519" t="s">
        <v>303</v>
      </c>
      <c r="J519" t="s">
        <v>518</v>
      </c>
    </row>
    <row r="520" spans="1:10">
      <c r="A520" t="s">
        <v>855</v>
      </c>
      <c r="B520" t="b">
        <v>0</v>
      </c>
      <c r="H520" t="s">
        <v>302</v>
      </c>
      <c r="I520" t="s">
        <v>303</v>
      </c>
      <c r="J520" t="s">
        <v>518</v>
      </c>
    </row>
    <row r="521" spans="1:10">
      <c r="A521" t="s">
        <v>856</v>
      </c>
      <c r="B521" t="b">
        <v>0</v>
      </c>
      <c r="H521" t="s">
        <v>302</v>
      </c>
      <c r="I521" t="s">
        <v>303</v>
      </c>
      <c r="J521" t="s">
        <v>518</v>
      </c>
    </row>
    <row r="522" spans="1:10">
      <c r="A522" t="s">
        <v>857</v>
      </c>
      <c r="B522" t="b">
        <v>0</v>
      </c>
      <c r="H522" t="s">
        <v>302</v>
      </c>
      <c r="I522" t="s">
        <v>303</v>
      </c>
      <c r="J522" t="s">
        <v>518</v>
      </c>
    </row>
    <row r="523" spans="1:10">
      <c r="A523" t="s">
        <v>858</v>
      </c>
      <c r="B523" t="b">
        <v>0</v>
      </c>
      <c r="H523" t="s">
        <v>302</v>
      </c>
      <c r="I523" t="s">
        <v>303</v>
      </c>
      <c r="J523" t="s">
        <v>518</v>
      </c>
    </row>
    <row r="524" spans="1:10">
      <c r="A524" t="s">
        <v>859</v>
      </c>
      <c r="B524" t="b">
        <v>0</v>
      </c>
      <c r="H524" t="s">
        <v>302</v>
      </c>
      <c r="I524" t="s">
        <v>303</v>
      </c>
      <c r="J524" t="s">
        <v>518</v>
      </c>
    </row>
    <row r="525" spans="1:10">
      <c r="A525" t="s">
        <v>860</v>
      </c>
      <c r="B525" t="b">
        <v>0</v>
      </c>
      <c r="H525" t="s">
        <v>302</v>
      </c>
      <c r="I525" t="s">
        <v>303</v>
      </c>
      <c r="J525" t="s">
        <v>518</v>
      </c>
    </row>
    <row r="526" spans="1:10">
      <c r="A526" t="s">
        <v>861</v>
      </c>
      <c r="B526" t="b">
        <v>0</v>
      </c>
      <c r="H526" t="s">
        <v>302</v>
      </c>
      <c r="I526" t="s">
        <v>303</v>
      </c>
      <c r="J526" t="s">
        <v>518</v>
      </c>
    </row>
    <row r="527" spans="1:10">
      <c r="A527" t="s">
        <v>862</v>
      </c>
      <c r="B527" t="b">
        <v>0</v>
      </c>
      <c r="C527" t="s">
        <v>340</v>
      </c>
      <c r="D527" t="s">
        <v>340</v>
      </c>
      <c r="E527" t="s">
        <v>340</v>
      </c>
      <c r="H527" t="s">
        <v>302</v>
      </c>
      <c r="I527" t="s">
        <v>303</v>
      </c>
      <c r="J527" t="s">
        <v>518</v>
      </c>
    </row>
    <row r="528" spans="1:10">
      <c r="A528" t="s">
        <v>863</v>
      </c>
      <c r="B528" t="b">
        <v>0</v>
      </c>
      <c r="H528" t="s">
        <v>302</v>
      </c>
      <c r="I528" t="s">
        <v>303</v>
      </c>
      <c r="J528" t="s">
        <v>518</v>
      </c>
    </row>
    <row r="529" spans="1:10">
      <c r="A529" t="s">
        <v>864</v>
      </c>
      <c r="B529" t="b">
        <v>0</v>
      </c>
      <c r="H529" t="s">
        <v>302</v>
      </c>
      <c r="I529" t="s">
        <v>303</v>
      </c>
      <c r="J529" t="s">
        <v>518</v>
      </c>
    </row>
    <row r="530" spans="1:10">
      <c r="A530" t="s">
        <v>865</v>
      </c>
      <c r="B530" t="b">
        <v>0</v>
      </c>
      <c r="H530" t="s">
        <v>302</v>
      </c>
      <c r="I530" t="s">
        <v>303</v>
      </c>
      <c r="J530" t="s">
        <v>518</v>
      </c>
    </row>
    <row r="531" spans="1:10">
      <c r="A531" t="s">
        <v>866</v>
      </c>
      <c r="B531" t="b">
        <v>0</v>
      </c>
      <c r="H531" t="s">
        <v>302</v>
      </c>
      <c r="I531" t="s">
        <v>303</v>
      </c>
      <c r="J531" t="s">
        <v>518</v>
      </c>
    </row>
    <row r="532" spans="1:10">
      <c r="A532" t="s">
        <v>867</v>
      </c>
      <c r="B532" t="b">
        <v>0</v>
      </c>
      <c r="H532" t="s">
        <v>302</v>
      </c>
      <c r="I532" t="s">
        <v>303</v>
      </c>
      <c r="J532" t="s">
        <v>518</v>
      </c>
    </row>
    <row r="533" spans="1:10">
      <c r="A533" t="s">
        <v>868</v>
      </c>
      <c r="B533" t="b">
        <v>0</v>
      </c>
      <c r="H533" t="s">
        <v>302</v>
      </c>
      <c r="I533" t="s">
        <v>303</v>
      </c>
      <c r="J533" t="s">
        <v>518</v>
      </c>
    </row>
    <row r="534" spans="1:10">
      <c r="A534" t="s">
        <v>869</v>
      </c>
      <c r="B534" t="b">
        <v>0</v>
      </c>
      <c r="H534" t="s">
        <v>302</v>
      </c>
      <c r="I534" t="s">
        <v>303</v>
      </c>
      <c r="J534" t="s">
        <v>518</v>
      </c>
    </row>
    <row r="535" spans="1:10">
      <c r="A535" t="s">
        <v>870</v>
      </c>
      <c r="B535" t="b">
        <v>0</v>
      </c>
      <c r="H535" t="s">
        <v>302</v>
      </c>
      <c r="I535" t="s">
        <v>303</v>
      </c>
      <c r="J535" t="s">
        <v>518</v>
      </c>
    </row>
    <row r="536" spans="1:10">
      <c r="A536" t="s">
        <v>871</v>
      </c>
      <c r="B536" t="b">
        <v>0</v>
      </c>
      <c r="H536" t="s">
        <v>302</v>
      </c>
      <c r="I536" t="s">
        <v>303</v>
      </c>
      <c r="J536" t="s">
        <v>518</v>
      </c>
    </row>
    <row r="537" spans="1:10">
      <c r="A537" t="s">
        <v>872</v>
      </c>
      <c r="B537" t="b">
        <v>0</v>
      </c>
      <c r="H537" t="s">
        <v>302</v>
      </c>
      <c r="I537" t="s">
        <v>303</v>
      </c>
      <c r="J537" t="s">
        <v>518</v>
      </c>
    </row>
    <row r="538" spans="1:10">
      <c r="A538" t="s">
        <v>873</v>
      </c>
      <c r="B538" t="b">
        <v>0</v>
      </c>
      <c r="H538" t="s">
        <v>302</v>
      </c>
      <c r="I538" t="s">
        <v>303</v>
      </c>
      <c r="J538" t="s">
        <v>518</v>
      </c>
    </row>
    <row r="539" spans="1:10">
      <c r="A539" t="s">
        <v>874</v>
      </c>
      <c r="B539" t="b">
        <v>0</v>
      </c>
      <c r="H539" t="s">
        <v>302</v>
      </c>
      <c r="I539" t="s">
        <v>303</v>
      </c>
      <c r="J539" t="s">
        <v>518</v>
      </c>
    </row>
    <row r="540" spans="1:10">
      <c r="A540" t="s">
        <v>875</v>
      </c>
      <c r="B540" t="b">
        <v>0</v>
      </c>
      <c r="H540" t="s">
        <v>302</v>
      </c>
      <c r="I540" t="s">
        <v>303</v>
      </c>
      <c r="J540" t="s">
        <v>518</v>
      </c>
    </row>
    <row r="541" spans="1:10">
      <c r="A541" t="s">
        <v>876</v>
      </c>
      <c r="B541" t="b">
        <v>0</v>
      </c>
      <c r="H541" t="s">
        <v>302</v>
      </c>
      <c r="I541" t="s">
        <v>303</v>
      </c>
      <c r="J541" t="s">
        <v>518</v>
      </c>
    </row>
    <row r="542" spans="1:10">
      <c r="A542" t="s">
        <v>877</v>
      </c>
      <c r="B542" t="b">
        <v>0</v>
      </c>
      <c r="H542" t="s">
        <v>302</v>
      </c>
      <c r="I542" t="s">
        <v>303</v>
      </c>
      <c r="J542" t="s">
        <v>518</v>
      </c>
    </row>
    <row r="543" spans="1:10">
      <c r="A543" t="s">
        <v>878</v>
      </c>
      <c r="B543" t="b">
        <v>0</v>
      </c>
      <c r="H543" t="s">
        <v>302</v>
      </c>
      <c r="I543" t="s">
        <v>303</v>
      </c>
      <c r="J543" t="s">
        <v>518</v>
      </c>
    </row>
    <row r="544" spans="1:10">
      <c r="A544" t="s">
        <v>879</v>
      </c>
      <c r="B544" t="b">
        <v>0</v>
      </c>
      <c r="H544" t="s">
        <v>302</v>
      </c>
      <c r="I544" t="s">
        <v>303</v>
      </c>
      <c r="J544" t="s">
        <v>304</v>
      </c>
    </row>
    <row r="545" spans="1:10">
      <c r="A545" t="s">
        <v>880</v>
      </c>
      <c r="B545" t="b">
        <v>0</v>
      </c>
      <c r="H545" t="s">
        <v>302</v>
      </c>
      <c r="I545" t="s">
        <v>303</v>
      </c>
      <c r="J545" t="s">
        <v>304</v>
      </c>
    </row>
    <row r="546" spans="1:10">
      <c r="A546" t="s">
        <v>881</v>
      </c>
      <c r="B546" t="b">
        <v>0</v>
      </c>
      <c r="H546" t="s">
        <v>302</v>
      </c>
      <c r="I546" t="s">
        <v>303</v>
      </c>
      <c r="J546" t="s">
        <v>304</v>
      </c>
    </row>
    <row r="547" spans="1:10">
      <c r="A547" t="s">
        <v>882</v>
      </c>
      <c r="B547" t="b">
        <v>0</v>
      </c>
      <c r="H547" t="s">
        <v>302</v>
      </c>
      <c r="I547" t="s">
        <v>303</v>
      </c>
      <c r="J547" t="s">
        <v>304</v>
      </c>
    </row>
    <row r="548" spans="1:10">
      <c r="A548" t="s">
        <v>883</v>
      </c>
      <c r="B548" t="b">
        <v>0</v>
      </c>
      <c r="H548" t="s">
        <v>302</v>
      </c>
      <c r="I548" t="s">
        <v>303</v>
      </c>
      <c r="J548" t="s">
        <v>304</v>
      </c>
    </row>
    <row r="549" spans="1:10">
      <c r="A549" t="s">
        <v>884</v>
      </c>
      <c r="B549" t="b">
        <v>0</v>
      </c>
      <c r="H549" t="s">
        <v>302</v>
      </c>
      <c r="I549" t="s">
        <v>303</v>
      </c>
      <c r="J549" t="s">
        <v>304</v>
      </c>
    </row>
    <row r="550" spans="1:10">
      <c r="A550" t="s">
        <v>885</v>
      </c>
      <c r="B550" t="b">
        <v>0</v>
      </c>
      <c r="H550" t="s">
        <v>302</v>
      </c>
      <c r="I550" t="s">
        <v>303</v>
      </c>
      <c r="J550" t="s">
        <v>304</v>
      </c>
    </row>
    <row r="551" spans="1:10">
      <c r="A551" t="s">
        <v>886</v>
      </c>
      <c r="B551" t="b">
        <v>0</v>
      </c>
      <c r="H551" t="s">
        <v>302</v>
      </c>
      <c r="I551" t="s">
        <v>303</v>
      </c>
      <c r="J551" t="s">
        <v>304</v>
      </c>
    </row>
    <row r="552" spans="1:10">
      <c r="A552" t="s">
        <v>887</v>
      </c>
      <c r="B552" t="b">
        <v>0</v>
      </c>
      <c r="H552" t="s">
        <v>302</v>
      </c>
      <c r="I552" t="s">
        <v>303</v>
      </c>
      <c r="J552" t="s">
        <v>304</v>
      </c>
    </row>
    <row r="553" spans="1:10">
      <c r="A553" t="s">
        <v>888</v>
      </c>
      <c r="B553" t="b">
        <v>0</v>
      </c>
      <c r="H553" t="s">
        <v>302</v>
      </c>
      <c r="I553" t="s">
        <v>303</v>
      </c>
      <c r="J553" t="s">
        <v>304</v>
      </c>
    </row>
    <row r="554" spans="1:10">
      <c r="A554" t="s">
        <v>889</v>
      </c>
      <c r="B554" t="b">
        <v>0</v>
      </c>
      <c r="H554" t="s">
        <v>302</v>
      </c>
      <c r="I554" t="s">
        <v>303</v>
      </c>
      <c r="J554" t="s">
        <v>304</v>
      </c>
    </row>
    <row r="555" spans="1:10">
      <c r="A555" t="s">
        <v>890</v>
      </c>
      <c r="B555" t="b">
        <v>0</v>
      </c>
      <c r="H555" t="s">
        <v>302</v>
      </c>
      <c r="I555" t="s">
        <v>303</v>
      </c>
      <c r="J555" t="s">
        <v>304</v>
      </c>
    </row>
    <row r="556" spans="1:10">
      <c r="A556" t="s">
        <v>891</v>
      </c>
      <c r="B556" t="b">
        <v>0</v>
      </c>
      <c r="H556" t="s">
        <v>302</v>
      </c>
      <c r="I556" t="s">
        <v>303</v>
      </c>
      <c r="J556" t="s">
        <v>304</v>
      </c>
    </row>
    <row r="557" spans="1:10">
      <c r="A557" t="s">
        <v>892</v>
      </c>
      <c r="B557" t="b">
        <v>0</v>
      </c>
      <c r="H557" t="s">
        <v>302</v>
      </c>
      <c r="I557" t="s">
        <v>303</v>
      </c>
      <c r="J557" t="s">
        <v>304</v>
      </c>
    </row>
    <row r="558" spans="1:10">
      <c r="A558" t="s">
        <v>893</v>
      </c>
      <c r="B558" t="b">
        <v>0</v>
      </c>
      <c r="H558" t="s">
        <v>302</v>
      </c>
      <c r="I558" t="s">
        <v>303</v>
      </c>
      <c r="J558" t="s">
        <v>304</v>
      </c>
    </row>
    <row r="559" spans="1:10">
      <c r="A559" t="s">
        <v>894</v>
      </c>
      <c r="B559" t="b">
        <v>0</v>
      </c>
      <c r="H559" t="s">
        <v>302</v>
      </c>
      <c r="I559" t="s">
        <v>303</v>
      </c>
      <c r="J559" t="s">
        <v>304</v>
      </c>
    </row>
    <row r="560" spans="1:10">
      <c r="A560" t="s">
        <v>895</v>
      </c>
      <c r="B560" t="b">
        <v>0</v>
      </c>
      <c r="H560" t="s">
        <v>302</v>
      </c>
      <c r="I560" t="s">
        <v>303</v>
      </c>
      <c r="J560" t="s">
        <v>518</v>
      </c>
    </row>
    <row r="561" spans="1:10">
      <c r="A561" t="s">
        <v>896</v>
      </c>
      <c r="B561" t="b">
        <v>0</v>
      </c>
      <c r="C561" t="s">
        <v>376</v>
      </c>
      <c r="D561" t="s">
        <v>389</v>
      </c>
      <c r="E561" t="s">
        <v>376</v>
      </c>
      <c r="H561" t="s">
        <v>302</v>
      </c>
      <c r="I561" t="s">
        <v>303</v>
      </c>
      <c r="J561" t="s">
        <v>518</v>
      </c>
    </row>
    <row r="562" spans="1:10">
      <c r="A562" t="s">
        <v>897</v>
      </c>
      <c r="B562" t="b">
        <v>0</v>
      </c>
      <c r="C562" t="s">
        <v>340</v>
      </c>
      <c r="D562" t="s">
        <v>340</v>
      </c>
      <c r="E562" t="s">
        <v>340</v>
      </c>
      <c r="H562" t="s">
        <v>302</v>
      </c>
      <c r="I562" t="s">
        <v>303</v>
      </c>
      <c r="J562" t="s">
        <v>518</v>
      </c>
    </row>
    <row r="563" spans="1:10">
      <c r="A563" t="s">
        <v>898</v>
      </c>
      <c r="B563" t="b">
        <v>0</v>
      </c>
      <c r="H563" t="s">
        <v>302</v>
      </c>
      <c r="I563" t="s">
        <v>303</v>
      </c>
      <c r="J563" t="s">
        <v>518</v>
      </c>
    </row>
    <row r="564" spans="1:10">
      <c r="A564" t="s">
        <v>899</v>
      </c>
      <c r="B564" t="b">
        <v>0</v>
      </c>
      <c r="H564" t="s">
        <v>302</v>
      </c>
      <c r="I564" t="s">
        <v>303</v>
      </c>
      <c r="J564" t="s">
        <v>518</v>
      </c>
    </row>
    <row r="565" spans="1:10">
      <c r="A565" t="s">
        <v>900</v>
      </c>
      <c r="B565" t="b">
        <v>0</v>
      </c>
      <c r="H565" t="s">
        <v>302</v>
      </c>
      <c r="I565" t="s">
        <v>303</v>
      </c>
      <c r="J565" t="s">
        <v>518</v>
      </c>
    </row>
    <row r="566" spans="1:10">
      <c r="A566" t="s">
        <v>901</v>
      </c>
      <c r="B566" t="b">
        <v>0</v>
      </c>
      <c r="H566" t="s">
        <v>302</v>
      </c>
      <c r="I566" t="s">
        <v>303</v>
      </c>
      <c r="J566" t="s">
        <v>518</v>
      </c>
    </row>
    <row r="567" spans="1:10">
      <c r="A567" t="s">
        <v>902</v>
      </c>
      <c r="B567" t="b">
        <v>0</v>
      </c>
      <c r="H567" t="s">
        <v>302</v>
      </c>
      <c r="I567" t="s">
        <v>303</v>
      </c>
      <c r="J567" t="s">
        <v>518</v>
      </c>
    </row>
    <row r="568" spans="1:10">
      <c r="A568" t="s">
        <v>903</v>
      </c>
      <c r="B568" t="b">
        <v>0</v>
      </c>
      <c r="C568" t="s">
        <v>301</v>
      </c>
      <c r="D568" t="s">
        <v>301</v>
      </c>
      <c r="E568" t="s">
        <v>301</v>
      </c>
      <c r="H568" t="s">
        <v>302</v>
      </c>
      <c r="I568" t="s">
        <v>303</v>
      </c>
      <c r="J568" t="s">
        <v>518</v>
      </c>
    </row>
    <row r="569" spans="1:10">
      <c r="A569" t="s">
        <v>904</v>
      </c>
      <c r="B569" t="b">
        <v>0</v>
      </c>
      <c r="H569" t="s">
        <v>302</v>
      </c>
      <c r="I569" t="s">
        <v>303</v>
      </c>
      <c r="J569" t="s">
        <v>518</v>
      </c>
    </row>
    <row r="570" spans="1:10">
      <c r="A570" t="s">
        <v>905</v>
      </c>
      <c r="B570" t="b">
        <v>0</v>
      </c>
      <c r="C570" t="s">
        <v>301</v>
      </c>
      <c r="D570" t="s">
        <v>301</v>
      </c>
      <c r="E570" t="s">
        <v>301</v>
      </c>
      <c r="H570" t="s">
        <v>302</v>
      </c>
      <c r="I570" t="s">
        <v>303</v>
      </c>
      <c r="J570" t="s">
        <v>518</v>
      </c>
    </row>
    <row r="571" spans="1:10">
      <c r="A571" t="s">
        <v>906</v>
      </c>
      <c r="B571" t="b">
        <v>0</v>
      </c>
      <c r="H571" t="s">
        <v>302</v>
      </c>
      <c r="I571" t="s">
        <v>303</v>
      </c>
      <c r="J571" t="s">
        <v>518</v>
      </c>
    </row>
    <row r="572" spans="1:10">
      <c r="A572" t="s">
        <v>907</v>
      </c>
      <c r="B572" t="b">
        <v>0</v>
      </c>
      <c r="H572" t="s">
        <v>302</v>
      </c>
      <c r="I572" t="s">
        <v>303</v>
      </c>
      <c r="J572" t="s">
        <v>610</v>
      </c>
    </row>
    <row r="573" spans="1:10">
      <c r="A573" t="s">
        <v>908</v>
      </c>
      <c r="B573" t="b">
        <v>0</v>
      </c>
      <c r="H573" t="s">
        <v>302</v>
      </c>
      <c r="I573" t="s">
        <v>303</v>
      </c>
      <c r="J573" t="s">
        <v>610</v>
      </c>
    </row>
    <row r="574" spans="1:10">
      <c r="A574" t="s">
        <v>909</v>
      </c>
      <c r="B574" t="b">
        <v>0</v>
      </c>
      <c r="H574" t="s">
        <v>302</v>
      </c>
      <c r="I574" t="s">
        <v>303</v>
      </c>
      <c r="J574" t="s">
        <v>610</v>
      </c>
    </row>
    <row r="575" spans="1:10">
      <c r="A575" t="s">
        <v>910</v>
      </c>
      <c r="B575" t="b">
        <v>0</v>
      </c>
      <c r="H575" t="s">
        <v>302</v>
      </c>
      <c r="I575" t="s">
        <v>303</v>
      </c>
      <c r="J575" t="s">
        <v>610</v>
      </c>
    </row>
    <row r="576" spans="1:10">
      <c r="A576" t="s">
        <v>911</v>
      </c>
      <c r="B576" t="b">
        <v>0</v>
      </c>
      <c r="H576" t="s">
        <v>302</v>
      </c>
      <c r="I576" t="s">
        <v>303</v>
      </c>
      <c r="J576" t="s">
        <v>610</v>
      </c>
    </row>
    <row r="577" spans="1:11">
      <c r="A577" t="s">
        <v>912</v>
      </c>
      <c r="B577" t="b">
        <v>0</v>
      </c>
      <c r="H577" t="s">
        <v>302</v>
      </c>
      <c r="I577" t="s">
        <v>303</v>
      </c>
      <c r="J577" t="s">
        <v>610</v>
      </c>
    </row>
    <row r="578" spans="1:11">
      <c r="A578" t="s">
        <v>913</v>
      </c>
      <c r="B578" t="b">
        <v>0</v>
      </c>
      <c r="H578" t="s">
        <v>302</v>
      </c>
      <c r="I578" t="s">
        <v>303</v>
      </c>
      <c r="J578" t="s">
        <v>610</v>
      </c>
    </row>
    <row r="579" spans="1:11">
      <c r="A579" t="s">
        <v>914</v>
      </c>
      <c r="B579" t="b">
        <v>0</v>
      </c>
      <c r="H579" t="s">
        <v>302</v>
      </c>
      <c r="I579" t="s">
        <v>303</v>
      </c>
      <c r="J579" t="s">
        <v>610</v>
      </c>
    </row>
    <row r="580" spans="1:11">
      <c r="A580" t="s">
        <v>915</v>
      </c>
      <c r="B580" t="b">
        <v>0</v>
      </c>
      <c r="C580" t="s">
        <v>301</v>
      </c>
      <c r="D580" t="s">
        <v>322</v>
      </c>
      <c r="E580" t="s">
        <v>323</v>
      </c>
      <c r="H580" t="s">
        <v>301</v>
      </c>
      <c r="I580" t="s">
        <v>303</v>
      </c>
      <c r="J580" t="s">
        <v>916</v>
      </c>
      <c r="K580" t="s">
        <v>2117</v>
      </c>
    </row>
    <row r="581" spans="1:11">
      <c r="A581" t="s">
        <v>917</v>
      </c>
      <c r="B581" t="b">
        <v>0</v>
      </c>
      <c r="C581" t="s">
        <v>301</v>
      </c>
      <c r="D581" t="s">
        <v>322</v>
      </c>
      <c r="E581" t="s">
        <v>323</v>
      </c>
      <c r="H581" t="s">
        <v>301</v>
      </c>
      <c r="I581" t="s">
        <v>303</v>
      </c>
      <c r="J581" t="s">
        <v>916</v>
      </c>
      <c r="K581" t="s">
        <v>2117</v>
      </c>
    </row>
    <row r="582" spans="1:11">
      <c r="A582" t="s">
        <v>918</v>
      </c>
      <c r="B582" t="b">
        <v>0</v>
      </c>
      <c r="C582" t="s">
        <v>301</v>
      </c>
      <c r="D582" t="s">
        <v>322</v>
      </c>
      <c r="E582" t="s">
        <v>323</v>
      </c>
      <c r="H582" t="s">
        <v>301</v>
      </c>
      <c r="I582" t="s">
        <v>303</v>
      </c>
      <c r="J582" t="s">
        <v>916</v>
      </c>
      <c r="K582" t="s">
        <v>2117</v>
      </c>
    </row>
    <row r="583" spans="1:11">
      <c r="A583" t="s">
        <v>919</v>
      </c>
      <c r="B583" t="b">
        <v>0</v>
      </c>
      <c r="C583" t="s">
        <v>301</v>
      </c>
      <c r="D583" t="s">
        <v>301</v>
      </c>
      <c r="E583" t="s">
        <v>301</v>
      </c>
      <c r="H583" t="s">
        <v>301</v>
      </c>
      <c r="I583" t="s">
        <v>303</v>
      </c>
      <c r="J583" t="s">
        <v>916</v>
      </c>
      <c r="K583" t="s">
        <v>2117</v>
      </c>
    </row>
    <row r="584" spans="1:11">
      <c r="A584" t="s">
        <v>920</v>
      </c>
      <c r="B584" t="b">
        <v>0</v>
      </c>
      <c r="C584" t="s">
        <v>301</v>
      </c>
      <c r="D584" t="s">
        <v>322</v>
      </c>
      <c r="E584" t="s">
        <v>323</v>
      </c>
      <c r="H584" t="s">
        <v>301</v>
      </c>
      <c r="I584" t="s">
        <v>303</v>
      </c>
      <c r="J584" t="s">
        <v>916</v>
      </c>
      <c r="K584" t="s">
        <v>2117</v>
      </c>
    </row>
    <row r="585" spans="1:11">
      <c r="A585" t="s">
        <v>921</v>
      </c>
      <c r="B585" t="b">
        <v>0</v>
      </c>
      <c r="C585" t="s">
        <v>301</v>
      </c>
      <c r="D585" t="s">
        <v>301</v>
      </c>
      <c r="E585" t="s">
        <v>301</v>
      </c>
      <c r="H585" t="s">
        <v>301</v>
      </c>
      <c r="I585" t="s">
        <v>303</v>
      </c>
      <c r="J585" t="s">
        <v>916</v>
      </c>
      <c r="K585" t="s">
        <v>2117</v>
      </c>
    </row>
    <row r="586" spans="1:11">
      <c r="A586" t="s">
        <v>922</v>
      </c>
      <c r="B586" t="b">
        <v>0</v>
      </c>
      <c r="C586" t="s">
        <v>301</v>
      </c>
      <c r="D586" t="s">
        <v>301</v>
      </c>
      <c r="E586" t="s">
        <v>301</v>
      </c>
      <c r="H586" t="s">
        <v>301</v>
      </c>
      <c r="I586" t="s">
        <v>303</v>
      </c>
      <c r="J586" t="s">
        <v>916</v>
      </c>
      <c r="K586" t="s">
        <v>2117</v>
      </c>
    </row>
    <row r="587" spans="1:11">
      <c r="A587" t="s">
        <v>923</v>
      </c>
      <c r="B587" t="b">
        <v>0</v>
      </c>
      <c r="C587" t="s">
        <v>301</v>
      </c>
      <c r="D587" t="s">
        <v>322</v>
      </c>
      <c r="E587" t="s">
        <v>323</v>
      </c>
      <c r="H587" t="s">
        <v>301</v>
      </c>
      <c r="I587" t="s">
        <v>303</v>
      </c>
      <c r="J587" t="s">
        <v>916</v>
      </c>
      <c r="K587" t="s">
        <v>2117</v>
      </c>
    </row>
    <row r="588" spans="1:11">
      <c r="A588" t="s">
        <v>924</v>
      </c>
      <c r="B588" t="b">
        <v>0</v>
      </c>
      <c r="C588" t="s">
        <v>301</v>
      </c>
      <c r="D588" t="s">
        <v>301</v>
      </c>
      <c r="E588" t="s">
        <v>301</v>
      </c>
      <c r="H588" t="s">
        <v>301</v>
      </c>
      <c r="I588" t="s">
        <v>303</v>
      </c>
      <c r="J588" t="s">
        <v>916</v>
      </c>
      <c r="K588" t="s">
        <v>2117</v>
      </c>
    </row>
    <row r="589" spans="1:11">
      <c r="A589" t="s">
        <v>925</v>
      </c>
      <c r="B589" t="b">
        <v>0</v>
      </c>
      <c r="C589" t="s">
        <v>340</v>
      </c>
      <c r="D589" t="s">
        <v>340</v>
      </c>
      <c r="E589" t="s">
        <v>340</v>
      </c>
      <c r="H589" t="s">
        <v>340</v>
      </c>
      <c r="I589" t="s">
        <v>303</v>
      </c>
      <c r="J589" t="s">
        <v>916</v>
      </c>
      <c r="K589" t="s">
        <v>2117</v>
      </c>
    </row>
    <row r="590" spans="1:11">
      <c r="A590" t="s">
        <v>926</v>
      </c>
      <c r="B590" t="b">
        <v>0</v>
      </c>
      <c r="C590" t="s">
        <v>301</v>
      </c>
      <c r="D590" t="s">
        <v>322</v>
      </c>
      <c r="E590" t="s">
        <v>323</v>
      </c>
      <c r="G590" t="s">
        <v>927</v>
      </c>
      <c r="H590" t="s">
        <v>301</v>
      </c>
      <c r="I590" t="s">
        <v>303</v>
      </c>
      <c r="J590" t="s">
        <v>916</v>
      </c>
      <c r="K590" t="s">
        <v>2117</v>
      </c>
    </row>
    <row r="591" spans="1:11">
      <c r="A591" t="s">
        <v>928</v>
      </c>
      <c r="B591" t="b">
        <v>0</v>
      </c>
      <c r="C591" t="s">
        <v>301</v>
      </c>
      <c r="D591" t="s">
        <v>322</v>
      </c>
      <c r="E591" t="s">
        <v>323</v>
      </c>
      <c r="H591" t="s">
        <v>301</v>
      </c>
      <c r="I591" t="s">
        <v>303</v>
      </c>
      <c r="J591" t="s">
        <v>916</v>
      </c>
      <c r="K591" t="s">
        <v>2117</v>
      </c>
    </row>
    <row r="592" spans="1:11">
      <c r="A592" t="s">
        <v>929</v>
      </c>
      <c r="B592" t="b">
        <v>0</v>
      </c>
      <c r="C592" t="s">
        <v>301</v>
      </c>
      <c r="D592" t="s">
        <v>301</v>
      </c>
      <c r="E592" t="s">
        <v>301</v>
      </c>
      <c r="H592" t="s">
        <v>301</v>
      </c>
      <c r="I592" t="s">
        <v>303</v>
      </c>
      <c r="J592" t="s">
        <v>916</v>
      </c>
      <c r="K592" t="s">
        <v>2117</v>
      </c>
    </row>
    <row r="593" spans="1:11">
      <c r="A593" t="s">
        <v>930</v>
      </c>
      <c r="B593" t="b">
        <v>0</v>
      </c>
      <c r="C593" t="s">
        <v>301</v>
      </c>
      <c r="D593" t="s">
        <v>301</v>
      </c>
      <c r="E593" t="s">
        <v>301</v>
      </c>
      <c r="H593" t="s">
        <v>301</v>
      </c>
      <c r="I593" t="s">
        <v>303</v>
      </c>
      <c r="J593" t="s">
        <v>916</v>
      </c>
      <c r="K593" t="s">
        <v>2117</v>
      </c>
    </row>
    <row r="594" spans="1:11">
      <c r="A594" t="s">
        <v>931</v>
      </c>
      <c r="B594" t="b">
        <v>0</v>
      </c>
      <c r="C594" t="s">
        <v>340</v>
      </c>
      <c r="D594" t="s">
        <v>340</v>
      </c>
      <c r="E594" t="s">
        <v>340</v>
      </c>
      <c r="H594" t="s">
        <v>301</v>
      </c>
      <c r="I594" t="s">
        <v>303</v>
      </c>
      <c r="J594" t="s">
        <v>916</v>
      </c>
      <c r="K594" t="s">
        <v>2117</v>
      </c>
    </row>
    <row r="595" spans="1:11">
      <c r="A595" t="s">
        <v>932</v>
      </c>
      <c r="B595" t="b">
        <v>0</v>
      </c>
      <c r="C595" t="s">
        <v>301</v>
      </c>
      <c r="D595" t="s">
        <v>322</v>
      </c>
      <c r="E595" t="s">
        <v>323</v>
      </c>
      <c r="H595" t="s">
        <v>301</v>
      </c>
      <c r="I595" t="s">
        <v>303</v>
      </c>
      <c r="J595" t="s">
        <v>916</v>
      </c>
      <c r="K595" t="s">
        <v>2117</v>
      </c>
    </row>
    <row r="596" spans="1:11">
      <c r="A596" t="s">
        <v>933</v>
      </c>
      <c r="B596" t="b">
        <v>0</v>
      </c>
      <c r="C596" t="s">
        <v>301</v>
      </c>
      <c r="D596" t="s">
        <v>322</v>
      </c>
      <c r="E596" t="s">
        <v>323</v>
      </c>
      <c r="H596" t="s">
        <v>301</v>
      </c>
      <c r="I596" t="s">
        <v>303</v>
      </c>
      <c r="J596" t="s">
        <v>916</v>
      </c>
      <c r="K596" t="s">
        <v>2117</v>
      </c>
    </row>
    <row r="597" spans="1:11">
      <c r="A597" t="s">
        <v>934</v>
      </c>
      <c r="B597" t="b">
        <v>0</v>
      </c>
      <c r="C597" t="s">
        <v>301</v>
      </c>
      <c r="D597" t="s">
        <v>301</v>
      </c>
      <c r="E597" t="s">
        <v>301</v>
      </c>
      <c r="H597" t="s">
        <v>301</v>
      </c>
      <c r="I597" t="s">
        <v>303</v>
      </c>
      <c r="J597" t="s">
        <v>916</v>
      </c>
      <c r="K597" t="s">
        <v>2117</v>
      </c>
    </row>
    <row r="598" spans="1:11">
      <c r="A598" t="s">
        <v>935</v>
      </c>
      <c r="B598" t="b">
        <v>0</v>
      </c>
      <c r="C598" t="s">
        <v>301</v>
      </c>
      <c r="D598" t="s">
        <v>301</v>
      </c>
      <c r="E598" t="s">
        <v>301</v>
      </c>
      <c r="H598" t="s">
        <v>301</v>
      </c>
      <c r="I598" t="s">
        <v>303</v>
      </c>
      <c r="J598" t="s">
        <v>916</v>
      </c>
      <c r="K598" t="s">
        <v>2117</v>
      </c>
    </row>
    <row r="599" spans="1:11">
      <c r="A599" t="s">
        <v>936</v>
      </c>
      <c r="B599" t="b">
        <v>0</v>
      </c>
      <c r="C599" t="s">
        <v>301</v>
      </c>
      <c r="D599" t="s">
        <v>301</v>
      </c>
      <c r="E599" t="s">
        <v>301</v>
      </c>
      <c r="H599" t="s">
        <v>301</v>
      </c>
      <c r="I599" t="s">
        <v>303</v>
      </c>
      <c r="J599" t="s">
        <v>916</v>
      </c>
      <c r="K599" t="s">
        <v>2117</v>
      </c>
    </row>
    <row r="600" spans="1:11">
      <c r="A600" t="s">
        <v>937</v>
      </c>
      <c r="B600" t="b">
        <v>0</v>
      </c>
      <c r="C600" t="s">
        <v>301</v>
      </c>
      <c r="D600" t="s">
        <v>322</v>
      </c>
      <c r="E600" t="s">
        <v>323</v>
      </c>
      <c r="H600" t="s">
        <v>301</v>
      </c>
      <c r="I600" t="s">
        <v>303</v>
      </c>
      <c r="J600" t="s">
        <v>916</v>
      </c>
      <c r="K600" t="s">
        <v>2117</v>
      </c>
    </row>
    <row r="601" spans="1:11">
      <c r="A601" t="s">
        <v>938</v>
      </c>
      <c r="B601" t="b">
        <v>0</v>
      </c>
      <c r="C601" t="s">
        <v>340</v>
      </c>
      <c r="D601" t="s">
        <v>340</v>
      </c>
      <c r="E601" t="s">
        <v>340</v>
      </c>
      <c r="H601" t="s">
        <v>340</v>
      </c>
      <c r="I601" t="s">
        <v>303</v>
      </c>
      <c r="J601" t="s">
        <v>916</v>
      </c>
      <c r="K601" t="s">
        <v>2117</v>
      </c>
    </row>
    <row r="602" spans="1:11">
      <c r="A602" t="s">
        <v>939</v>
      </c>
      <c r="B602" t="b">
        <v>0</v>
      </c>
      <c r="C602" t="s">
        <v>301</v>
      </c>
      <c r="D602" t="s">
        <v>301</v>
      </c>
      <c r="E602" t="s">
        <v>301</v>
      </c>
      <c r="H602" t="s">
        <v>302</v>
      </c>
      <c r="I602" t="s">
        <v>303</v>
      </c>
      <c r="J602" t="s">
        <v>518</v>
      </c>
    </row>
    <row r="603" spans="1:11">
      <c r="A603" t="s">
        <v>940</v>
      </c>
      <c r="B603" t="b">
        <v>0</v>
      </c>
      <c r="C603" t="s">
        <v>301</v>
      </c>
      <c r="D603" t="s">
        <v>301</v>
      </c>
      <c r="E603" t="s">
        <v>301</v>
      </c>
      <c r="H603" t="s">
        <v>302</v>
      </c>
      <c r="I603" t="s">
        <v>303</v>
      </c>
      <c r="J603" t="s">
        <v>518</v>
      </c>
    </row>
    <row r="604" spans="1:11">
      <c r="A604" t="s">
        <v>941</v>
      </c>
      <c r="B604" t="b">
        <v>0</v>
      </c>
      <c r="C604" t="s">
        <v>301</v>
      </c>
      <c r="D604" t="s">
        <v>301</v>
      </c>
      <c r="E604" t="s">
        <v>301</v>
      </c>
      <c r="H604" t="s">
        <v>302</v>
      </c>
      <c r="I604" t="s">
        <v>303</v>
      </c>
      <c r="J604" t="s">
        <v>518</v>
      </c>
    </row>
    <row r="605" spans="1:11">
      <c r="A605" t="s">
        <v>942</v>
      </c>
      <c r="B605" t="b">
        <v>0</v>
      </c>
      <c r="C605" t="s">
        <v>340</v>
      </c>
      <c r="D605" t="s">
        <v>340</v>
      </c>
      <c r="E605" t="s">
        <v>340</v>
      </c>
      <c r="H605" t="s">
        <v>302</v>
      </c>
      <c r="I605" t="s">
        <v>303</v>
      </c>
      <c r="J605" t="s">
        <v>518</v>
      </c>
    </row>
    <row r="606" spans="1:11">
      <c r="A606" t="s">
        <v>943</v>
      </c>
      <c r="B606" t="b">
        <v>0</v>
      </c>
      <c r="C606" t="s">
        <v>340</v>
      </c>
      <c r="D606" t="s">
        <v>340</v>
      </c>
      <c r="E606" t="s">
        <v>340</v>
      </c>
      <c r="H606" t="s">
        <v>302</v>
      </c>
      <c r="I606" t="s">
        <v>303</v>
      </c>
      <c r="J606" t="s">
        <v>518</v>
      </c>
    </row>
    <row r="607" spans="1:11">
      <c r="A607" t="s">
        <v>944</v>
      </c>
      <c r="B607" t="b">
        <v>0</v>
      </c>
      <c r="C607" t="s">
        <v>340</v>
      </c>
      <c r="D607" t="s">
        <v>340</v>
      </c>
      <c r="E607" t="s">
        <v>340</v>
      </c>
      <c r="H607" t="s">
        <v>302</v>
      </c>
      <c r="I607" t="s">
        <v>303</v>
      </c>
      <c r="J607" t="s">
        <v>518</v>
      </c>
    </row>
    <row r="608" spans="1:11">
      <c r="A608" t="s">
        <v>945</v>
      </c>
      <c r="B608" t="b">
        <v>0</v>
      </c>
      <c r="C608" t="s">
        <v>340</v>
      </c>
      <c r="D608" t="s">
        <v>340</v>
      </c>
      <c r="E608" t="s">
        <v>340</v>
      </c>
      <c r="H608" t="s">
        <v>302</v>
      </c>
      <c r="I608" t="s">
        <v>303</v>
      </c>
      <c r="J608" t="s">
        <v>518</v>
      </c>
    </row>
    <row r="609" spans="1:11">
      <c r="A609" t="s">
        <v>946</v>
      </c>
      <c r="B609" t="b">
        <v>0</v>
      </c>
      <c r="C609" t="s">
        <v>301</v>
      </c>
      <c r="D609" t="s">
        <v>301</v>
      </c>
      <c r="E609" t="s">
        <v>301</v>
      </c>
      <c r="H609" t="s">
        <v>302</v>
      </c>
      <c r="I609" t="s">
        <v>303</v>
      </c>
      <c r="J609" t="s">
        <v>518</v>
      </c>
    </row>
    <row r="610" spans="1:11">
      <c r="A610" t="s">
        <v>947</v>
      </c>
      <c r="B610" t="b">
        <v>0</v>
      </c>
      <c r="C610" t="s">
        <v>330</v>
      </c>
      <c r="D610" t="s">
        <v>330</v>
      </c>
      <c r="E610" t="s">
        <v>330</v>
      </c>
      <c r="H610" t="s">
        <v>302</v>
      </c>
      <c r="I610" t="s">
        <v>303</v>
      </c>
      <c r="J610" t="s">
        <v>518</v>
      </c>
    </row>
    <row r="611" spans="1:11">
      <c r="A611" t="s">
        <v>948</v>
      </c>
      <c r="B611" t="b">
        <v>0</v>
      </c>
      <c r="C611" t="s">
        <v>353</v>
      </c>
      <c r="D611" t="s">
        <v>354</v>
      </c>
      <c r="E611" t="s">
        <v>353</v>
      </c>
      <c r="H611" t="s">
        <v>302</v>
      </c>
      <c r="I611" t="s">
        <v>303</v>
      </c>
      <c r="J611" t="s">
        <v>518</v>
      </c>
    </row>
    <row r="612" spans="1:11">
      <c r="A612" t="s">
        <v>949</v>
      </c>
      <c r="B612" t="b">
        <v>0</v>
      </c>
      <c r="C612" t="s">
        <v>301</v>
      </c>
      <c r="D612" t="s">
        <v>301</v>
      </c>
      <c r="E612" t="s">
        <v>301</v>
      </c>
      <c r="H612" t="s">
        <v>302</v>
      </c>
      <c r="I612" t="s">
        <v>303</v>
      </c>
      <c r="J612" t="s">
        <v>518</v>
      </c>
    </row>
    <row r="613" spans="1:11">
      <c r="A613" t="s">
        <v>950</v>
      </c>
      <c r="B613" t="b">
        <v>0</v>
      </c>
      <c r="C613" t="s">
        <v>301</v>
      </c>
      <c r="D613" t="s">
        <v>301</v>
      </c>
      <c r="E613" t="s">
        <v>301</v>
      </c>
      <c r="H613" t="s">
        <v>302</v>
      </c>
      <c r="I613" t="s">
        <v>303</v>
      </c>
      <c r="J613" t="s">
        <v>518</v>
      </c>
    </row>
    <row r="614" spans="1:11">
      <c r="A614" t="s">
        <v>951</v>
      </c>
      <c r="B614" t="b">
        <v>0</v>
      </c>
      <c r="C614" t="s">
        <v>301</v>
      </c>
      <c r="D614" t="s">
        <v>301</v>
      </c>
      <c r="E614" t="s">
        <v>301</v>
      </c>
      <c r="H614" t="s">
        <v>302</v>
      </c>
      <c r="I614" t="s">
        <v>303</v>
      </c>
      <c r="J614" t="s">
        <v>518</v>
      </c>
    </row>
    <row r="615" spans="1:11">
      <c r="A615" t="s">
        <v>952</v>
      </c>
      <c r="B615" t="b">
        <v>0</v>
      </c>
      <c r="C615" t="s">
        <v>301</v>
      </c>
      <c r="D615" t="s">
        <v>301</v>
      </c>
      <c r="E615" t="s">
        <v>301</v>
      </c>
      <c r="H615" t="s">
        <v>302</v>
      </c>
      <c r="I615" t="s">
        <v>303</v>
      </c>
      <c r="J615" t="s">
        <v>518</v>
      </c>
    </row>
    <row r="616" spans="1:11">
      <c r="A616" t="s">
        <v>953</v>
      </c>
      <c r="B616" t="b">
        <v>0</v>
      </c>
      <c r="C616" t="s">
        <v>301</v>
      </c>
      <c r="D616" t="s">
        <v>301</v>
      </c>
      <c r="E616" t="s">
        <v>301</v>
      </c>
      <c r="H616" t="s">
        <v>302</v>
      </c>
      <c r="I616" t="s">
        <v>303</v>
      </c>
      <c r="J616" t="s">
        <v>518</v>
      </c>
    </row>
    <row r="617" spans="1:11">
      <c r="A617" t="s">
        <v>954</v>
      </c>
      <c r="B617" t="b">
        <v>0</v>
      </c>
      <c r="C617" t="s">
        <v>301</v>
      </c>
      <c r="D617" t="s">
        <v>301</v>
      </c>
      <c r="E617" t="s">
        <v>301</v>
      </c>
      <c r="H617" t="s">
        <v>302</v>
      </c>
      <c r="I617" t="s">
        <v>303</v>
      </c>
      <c r="J617" t="s">
        <v>518</v>
      </c>
    </row>
    <row r="618" spans="1:11">
      <c r="A618" t="s">
        <v>955</v>
      </c>
      <c r="B618" t="b">
        <v>0</v>
      </c>
      <c r="H618" t="s">
        <v>302</v>
      </c>
      <c r="I618" t="s">
        <v>303</v>
      </c>
      <c r="J618" t="s">
        <v>539</v>
      </c>
    </row>
    <row r="619" spans="1:11">
      <c r="A619" t="s">
        <v>956</v>
      </c>
      <c r="B619" t="b">
        <v>0</v>
      </c>
      <c r="H619" t="s">
        <v>302</v>
      </c>
      <c r="I619" t="s">
        <v>303</v>
      </c>
      <c r="J619" t="s">
        <v>539</v>
      </c>
    </row>
    <row r="620" spans="1:11">
      <c r="A620" t="s">
        <v>957</v>
      </c>
      <c r="B620" t="b">
        <v>1</v>
      </c>
      <c r="C620" t="s">
        <v>301</v>
      </c>
      <c r="D620" t="s">
        <v>301</v>
      </c>
      <c r="E620" t="s">
        <v>301</v>
      </c>
      <c r="H620" t="s">
        <v>301</v>
      </c>
      <c r="I620" t="s">
        <v>303</v>
      </c>
      <c r="J620" t="s">
        <v>958</v>
      </c>
      <c r="K620">
        <v>3000</v>
      </c>
    </row>
    <row r="621" spans="1:11">
      <c r="A621" t="s">
        <v>959</v>
      </c>
      <c r="B621" t="b">
        <v>0</v>
      </c>
      <c r="C621" t="s">
        <v>301</v>
      </c>
      <c r="D621" t="s">
        <v>322</v>
      </c>
      <c r="E621" t="s">
        <v>323</v>
      </c>
      <c r="H621" t="s">
        <v>301</v>
      </c>
      <c r="I621" t="s">
        <v>303</v>
      </c>
      <c r="J621" t="s">
        <v>958</v>
      </c>
      <c r="K621">
        <v>3000</v>
      </c>
    </row>
    <row r="622" spans="1:11">
      <c r="A622" t="s">
        <v>960</v>
      </c>
      <c r="B622" t="b">
        <v>0</v>
      </c>
      <c r="C622" t="s">
        <v>340</v>
      </c>
      <c r="D622" t="s">
        <v>340</v>
      </c>
      <c r="E622" t="s">
        <v>340</v>
      </c>
      <c r="H622" t="s">
        <v>340</v>
      </c>
      <c r="I622" t="s">
        <v>303</v>
      </c>
      <c r="J622" t="s">
        <v>958</v>
      </c>
      <c r="K622">
        <v>3000</v>
      </c>
    </row>
    <row r="623" spans="1:11">
      <c r="A623" t="s">
        <v>961</v>
      </c>
      <c r="B623" t="b">
        <v>1</v>
      </c>
      <c r="C623" t="s">
        <v>353</v>
      </c>
      <c r="D623" t="s">
        <v>389</v>
      </c>
      <c r="E623" t="s">
        <v>353</v>
      </c>
      <c r="H623" t="s">
        <v>301</v>
      </c>
      <c r="I623" t="s">
        <v>303</v>
      </c>
      <c r="J623" t="s">
        <v>958</v>
      </c>
      <c r="K623">
        <v>3000</v>
      </c>
    </row>
    <row r="624" spans="1:11">
      <c r="A624" t="s">
        <v>962</v>
      </c>
      <c r="B624" t="b">
        <v>0</v>
      </c>
      <c r="C624" t="s">
        <v>301</v>
      </c>
      <c r="D624" t="s">
        <v>322</v>
      </c>
      <c r="E624" t="s">
        <v>323</v>
      </c>
      <c r="F624" t="s">
        <v>963</v>
      </c>
      <c r="H624" t="s">
        <v>301</v>
      </c>
      <c r="I624" t="s">
        <v>303</v>
      </c>
      <c r="J624" t="s">
        <v>958</v>
      </c>
      <c r="K624">
        <v>3000</v>
      </c>
    </row>
    <row r="625" spans="1:11">
      <c r="A625" t="s">
        <v>964</v>
      </c>
      <c r="B625" t="b">
        <v>0</v>
      </c>
      <c r="C625" t="s">
        <v>353</v>
      </c>
      <c r="D625" t="s">
        <v>354</v>
      </c>
      <c r="E625" t="s">
        <v>353</v>
      </c>
      <c r="H625" t="s">
        <v>301</v>
      </c>
      <c r="I625" t="s">
        <v>303</v>
      </c>
      <c r="J625" t="s">
        <v>958</v>
      </c>
      <c r="K625">
        <v>3000</v>
      </c>
    </row>
    <row r="626" spans="1:11">
      <c r="A626" t="s">
        <v>965</v>
      </c>
      <c r="B626" t="b">
        <v>0</v>
      </c>
      <c r="H626" t="s">
        <v>302</v>
      </c>
      <c r="I626" t="s">
        <v>303</v>
      </c>
      <c r="J626" t="s">
        <v>958</v>
      </c>
      <c r="K626">
        <v>3000</v>
      </c>
    </row>
    <row r="627" spans="1:11">
      <c r="A627" t="s">
        <v>966</v>
      </c>
      <c r="B627" t="b">
        <v>0</v>
      </c>
      <c r="C627" t="s">
        <v>330</v>
      </c>
      <c r="D627" t="s">
        <v>322</v>
      </c>
      <c r="E627" t="s">
        <v>330</v>
      </c>
      <c r="F627" t="s">
        <v>967</v>
      </c>
      <c r="H627" t="s">
        <v>301</v>
      </c>
      <c r="I627" t="s">
        <v>303</v>
      </c>
      <c r="J627" t="s">
        <v>958</v>
      </c>
      <c r="K627">
        <v>3000</v>
      </c>
    </row>
    <row r="628" spans="1:11">
      <c r="A628" t="s">
        <v>968</v>
      </c>
      <c r="B628" t="b">
        <v>0</v>
      </c>
      <c r="C628" t="s">
        <v>301</v>
      </c>
      <c r="D628" t="s">
        <v>389</v>
      </c>
      <c r="E628" t="s">
        <v>301</v>
      </c>
      <c r="G628" t="s">
        <v>301</v>
      </c>
      <c r="H628" t="s">
        <v>301</v>
      </c>
      <c r="I628" t="s">
        <v>303</v>
      </c>
      <c r="J628" t="s">
        <v>958</v>
      </c>
      <c r="K628">
        <v>3000</v>
      </c>
    </row>
    <row r="629" spans="1:11">
      <c r="A629" t="s">
        <v>969</v>
      </c>
      <c r="B629" t="b">
        <v>0</v>
      </c>
      <c r="C629" t="s">
        <v>376</v>
      </c>
      <c r="D629" t="s">
        <v>322</v>
      </c>
      <c r="E629" t="s">
        <v>376</v>
      </c>
      <c r="H629" t="s">
        <v>302</v>
      </c>
      <c r="I629" t="s">
        <v>303</v>
      </c>
      <c r="J629" t="s">
        <v>958</v>
      </c>
      <c r="K629">
        <v>3000</v>
      </c>
    </row>
    <row r="630" spans="1:11">
      <c r="A630" t="s">
        <v>970</v>
      </c>
      <c r="B630" t="b">
        <v>0</v>
      </c>
      <c r="C630" t="s">
        <v>376</v>
      </c>
      <c r="D630" t="s">
        <v>322</v>
      </c>
      <c r="E630" t="s">
        <v>323</v>
      </c>
      <c r="H630" t="s">
        <v>302</v>
      </c>
      <c r="I630" t="s">
        <v>303</v>
      </c>
      <c r="J630" t="s">
        <v>958</v>
      </c>
      <c r="K630">
        <v>3000</v>
      </c>
    </row>
    <row r="631" spans="1:11">
      <c r="A631" t="s">
        <v>971</v>
      </c>
      <c r="B631" t="b">
        <v>0</v>
      </c>
      <c r="C631" t="s">
        <v>301</v>
      </c>
      <c r="D631" t="s">
        <v>301</v>
      </c>
      <c r="E631" t="s">
        <v>323</v>
      </c>
      <c r="H631" t="s">
        <v>302</v>
      </c>
      <c r="I631" t="s">
        <v>303</v>
      </c>
      <c r="J631" t="s">
        <v>958</v>
      </c>
      <c r="K631">
        <v>3000</v>
      </c>
    </row>
    <row r="632" spans="1:11">
      <c r="A632" t="s">
        <v>972</v>
      </c>
      <c r="B632" t="b">
        <v>0</v>
      </c>
      <c r="C632" t="s">
        <v>376</v>
      </c>
      <c r="D632" t="s">
        <v>322</v>
      </c>
      <c r="E632" t="s">
        <v>376</v>
      </c>
      <c r="H632" t="s">
        <v>302</v>
      </c>
      <c r="I632" t="s">
        <v>303</v>
      </c>
      <c r="J632" t="s">
        <v>958</v>
      </c>
      <c r="K632">
        <v>3000</v>
      </c>
    </row>
    <row r="633" spans="1:11">
      <c r="A633" t="s">
        <v>973</v>
      </c>
      <c r="B633" t="b">
        <v>0</v>
      </c>
      <c r="C633" t="s">
        <v>340</v>
      </c>
      <c r="D633" t="s">
        <v>340</v>
      </c>
      <c r="E633" t="s">
        <v>323</v>
      </c>
      <c r="G633" t="s">
        <v>974</v>
      </c>
      <c r="H633" t="s">
        <v>302</v>
      </c>
      <c r="I633" t="s">
        <v>303</v>
      </c>
      <c r="J633" t="s">
        <v>958</v>
      </c>
      <c r="K633">
        <v>3000</v>
      </c>
    </row>
    <row r="634" spans="1:11">
      <c r="A634" t="s">
        <v>975</v>
      </c>
      <c r="B634" t="b">
        <v>0</v>
      </c>
      <c r="C634" t="s">
        <v>340</v>
      </c>
      <c r="D634" t="s">
        <v>340</v>
      </c>
      <c r="E634" t="s">
        <v>340</v>
      </c>
      <c r="H634" t="s">
        <v>302</v>
      </c>
      <c r="I634" t="s">
        <v>303</v>
      </c>
      <c r="J634" t="s">
        <v>958</v>
      </c>
      <c r="K634">
        <v>3000</v>
      </c>
    </row>
    <row r="635" spans="1:11">
      <c r="A635" t="s">
        <v>976</v>
      </c>
      <c r="B635" t="b">
        <v>0</v>
      </c>
      <c r="C635" t="s">
        <v>977</v>
      </c>
      <c r="D635" t="s">
        <v>340</v>
      </c>
      <c r="E635" t="s">
        <v>340</v>
      </c>
      <c r="H635" t="s">
        <v>302</v>
      </c>
      <c r="I635" t="s">
        <v>303</v>
      </c>
      <c r="J635" t="s">
        <v>958</v>
      </c>
      <c r="K635">
        <v>3000</v>
      </c>
    </row>
    <row r="636" spans="1:11">
      <c r="A636" t="s">
        <v>978</v>
      </c>
      <c r="B636" t="b">
        <v>0</v>
      </c>
      <c r="H636" t="s">
        <v>302</v>
      </c>
      <c r="I636" t="s">
        <v>303</v>
      </c>
      <c r="J636" t="s">
        <v>979</v>
      </c>
      <c r="K636">
        <v>3000</v>
      </c>
    </row>
    <row r="637" spans="1:11">
      <c r="A637" t="s">
        <v>980</v>
      </c>
      <c r="B637" t="b">
        <v>0</v>
      </c>
      <c r="H637" t="s">
        <v>302</v>
      </c>
      <c r="I637" t="s">
        <v>303</v>
      </c>
      <c r="J637" t="s">
        <v>979</v>
      </c>
      <c r="K637">
        <v>3000</v>
      </c>
    </row>
    <row r="638" spans="1:11">
      <c r="A638" t="s">
        <v>981</v>
      </c>
      <c r="B638" t="b">
        <v>0</v>
      </c>
      <c r="C638" t="s">
        <v>301</v>
      </c>
      <c r="D638" t="s">
        <v>301</v>
      </c>
      <c r="E638" t="s">
        <v>301</v>
      </c>
      <c r="H638" t="s">
        <v>302</v>
      </c>
      <c r="I638" t="s">
        <v>303</v>
      </c>
      <c r="J638" t="s">
        <v>979</v>
      </c>
      <c r="K638">
        <v>3000</v>
      </c>
    </row>
    <row r="639" spans="1:11">
      <c r="A639" t="s">
        <v>982</v>
      </c>
      <c r="B639" t="b">
        <v>0</v>
      </c>
      <c r="C639" t="s">
        <v>301</v>
      </c>
      <c r="D639" t="s">
        <v>301</v>
      </c>
      <c r="E639" t="s">
        <v>301</v>
      </c>
      <c r="H639" t="s">
        <v>302</v>
      </c>
      <c r="I639" t="s">
        <v>303</v>
      </c>
      <c r="J639" t="s">
        <v>979</v>
      </c>
      <c r="K639">
        <v>3000</v>
      </c>
    </row>
    <row r="640" spans="1:11">
      <c r="A640" t="s">
        <v>983</v>
      </c>
      <c r="B640" t="b">
        <v>0</v>
      </c>
      <c r="H640" t="s">
        <v>302</v>
      </c>
      <c r="I640" t="s">
        <v>303</v>
      </c>
      <c r="J640" t="s">
        <v>979</v>
      </c>
      <c r="K640">
        <v>3000</v>
      </c>
    </row>
    <row r="641" spans="1:11">
      <c r="A641" t="s">
        <v>984</v>
      </c>
      <c r="B641" t="b">
        <v>0</v>
      </c>
      <c r="C641" t="s">
        <v>340</v>
      </c>
      <c r="D641" t="s">
        <v>340</v>
      </c>
      <c r="E641" t="s">
        <v>340</v>
      </c>
      <c r="H641" t="s">
        <v>302</v>
      </c>
      <c r="I641" t="s">
        <v>303</v>
      </c>
      <c r="J641" t="s">
        <v>979</v>
      </c>
      <c r="K641">
        <v>3000</v>
      </c>
    </row>
    <row r="642" spans="1:11">
      <c r="A642" t="s">
        <v>985</v>
      </c>
      <c r="B642" t="b">
        <v>0</v>
      </c>
      <c r="H642" t="s">
        <v>302</v>
      </c>
      <c r="I642" t="s">
        <v>303</v>
      </c>
      <c r="J642" t="s">
        <v>979</v>
      </c>
      <c r="K642">
        <v>3000</v>
      </c>
    </row>
    <row r="643" spans="1:11">
      <c r="A643" t="s">
        <v>986</v>
      </c>
      <c r="B643" t="b">
        <v>0</v>
      </c>
      <c r="H643" t="s">
        <v>302</v>
      </c>
      <c r="I643" t="s">
        <v>303</v>
      </c>
      <c r="J643" t="s">
        <v>979</v>
      </c>
      <c r="K643">
        <v>3000</v>
      </c>
    </row>
    <row r="644" spans="1:11">
      <c r="A644" t="s">
        <v>987</v>
      </c>
      <c r="B644" t="b">
        <v>0</v>
      </c>
      <c r="H644" t="s">
        <v>302</v>
      </c>
      <c r="I644" t="s">
        <v>303</v>
      </c>
      <c r="J644" t="s">
        <v>979</v>
      </c>
      <c r="K644">
        <v>3000</v>
      </c>
    </row>
    <row r="645" spans="1:11">
      <c r="A645" t="s">
        <v>988</v>
      </c>
      <c r="B645" t="b">
        <v>0</v>
      </c>
      <c r="H645" t="s">
        <v>302</v>
      </c>
      <c r="I645" t="s">
        <v>303</v>
      </c>
      <c r="J645" t="s">
        <v>979</v>
      </c>
      <c r="K645">
        <v>3000</v>
      </c>
    </row>
    <row r="646" spans="1:11">
      <c r="A646" t="s">
        <v>989</v>
      </c>
      <c r="B646" t="b">
        <v>0</v>
      </c>
      <c r="H646" t="s">
        <v>302</v>
      </c>
      <c r="I646" t="s">
        <v>303</v>
      </c>
      <c r="J646" t="s">
        <v>979</v>
      </c>
      <c r="K646">
        <v>3000</v>
      </c>
    </row>
    <row r="647" spans="1:11">
      <c r="A647" t="s">
        <v>990</v>
      </c>
      <c r="B647" t="b">
        <v>0</v>
      </c>
      <c r="H647" t="s">
        <v>302</v>
      </c>
      <c r="I647" t="s">
        <v>303</v>
      </c>
      <c r="J647" t="s">
        <v>979</v>
      </c>
      <c r="K647">
        <v>3000</v>
      </c>
    </row>
    <row r="648" spans="1:11">
      <c r="A648" t="s">
        <v>991</v>
      </c>
      <c r="B648" t="b">
        <v>0</v>
      </c>
      <c r="H648" t="s">
        <v>302</v>
      </c>
      <c r="I648" t="s">
        <v>303</v>
      </c>
      <c r="J648" t="s">
        <v>979</v>
      </c>
      <c r="K648">
        <v>3000</v>
      </c>
    </row>
    <row r="649" spans="1:11">
      <c r="A649" t="s">
        <v>992</v>
      </c>
      <c r="B649" t="b">
        <v>0</v>
      </c>
      <c r="H649" t="s">
        <v>302</v>
      </c>
      <c r="I649" t="s">
        <v>303</v>
      </c>
      <c r="J649" t="s">
        <v>304</v>
      </c>
    </row>
    <row r="650" spans="1:11">
      <c r="A650" t="s">
        <v>993</v>
      </c>
      <c r="B650" t="b">
        <v>0</v>
      </c>
      <c r="H650" t="s">
        <v>302</v>
      </c>
      <c r="I650" t="s">
        <v>303</v>
      </c>
      <c r="J650" t="s">
        <v>304</v>
      </c>
    </row>
    <row r="651" spans="1:11">
      <c r="A651" t="s">
        <v>994</v>
      </c>
      <c r="B651" t="b">
        <v>0</v>
      </c>
      <c r="H651" t="s">
        <v>302</v>
      </c>
      <c r="I651" t="s">
        <v>303</v>
      </c>
      <c r="J651" t="s">
        <v>304</v>
      </c>
    </row>
    <row r="652" spans="1:11">
      <c r="A652" t="s">
        <v>995</v>
      </c>
      <c r="B652" t="b">
        <v>0</v>
      </c>
      <c r="H652" t="s">
        <v>302</v>
      </c>
      <c r="I652" t="s">
        <v>303</v>
      </c>
      <c r="J652" t="s">
        <v>304</v>
      </c>
    </row>
    <row r="653" spans="1:11">
      <c r="A653" t="s">
        <v>996</v>
      </c>
      <c r="B653" t="b">
        <v>0</v>
      </c>
      <c r="H653" t="s">
        <v>302</v>
      </c>
      <c r="I653" t="s">
        <v>303</v>
      </c>
      <c r="J653" t="s">
        <v>304</v>
      </c>
    </row>
    <row r="654" spans="1:11">
      <c r="A654" t="s">
        <v>997</v>
      </c>
      <c r="B654" t="b">
        <v>0</v>
      </c>
      <c r="H654" t="s">
        <v>302</v>
      </c>
      <c r="I654" t="s">
        <v>303</v>
      </c>
      <c r="J654" t="s">
        <v>304</v>
      </c>
    </row>
    <row r="655" spans="1:11">
      <c r="A655" t="s">
        <v>998</v>
      </c>
      <c r="B655" t="b">
        <v>0</v>
      </c>
      <c r="H655" t="s">
        <v>302</v>
      </c>
      <c r="I655" t="s">
        <v>303</v>
      </c>
      <c r="J655" t="s">
        <v>304</v>
      </c>
    </row>
    <row r="656" spans="1:11">
      <c r="A656" t="s">
        <v>999</v>
      </c>
      <c r="B656" t="b">
        <v>0</v>
      </c>
      <c r="H656" t="s">
        <v>302</v>
      </c>
      <c r="I656" t="s">
        <v>303</v>
      </c>
      <c r="J656" t="s">
        <v>304</v>
      </c>
    </row>
    <row r="657" spans="1:11">
      <c r="A657" t="s">
        <v>1000</v>
      </c>
      <c r="B657" t="b">
        <v>0</v>
      </c>
      <c r="H657" t="s">
        <v>302</v>
      </c>
      <c r="I657" t="s">
        <v>303</v>
      </c>
      <c r="J657" t="s">
        <v>304</v>
      </c>
    </row>
    <row r="658" spans="1:11">
      <c r="A658" t="s">
        <v>1001</v>
      </c>
      <c r="B658" t="b">
        <v>0</v>
      </c>
      <c r="H658" t="s">
        <v>302</v>
      </c>
      <c r="I658" t="s">
        <v>303</v>
      </c>
      <c r="J658" t="s">
        <v>304</v>
      </c>
    </row>
    <row r="659" spans="1:11">
      <c r="A659" t="s">
        <v>1002</v>
      </c>
      <c r="B659" t="b">
        <v>0</v>
      </c>
      <c r="C659" t="s">
        <v>301</v>
      </c>
      <c r="D659" t="s">
        <v>322</v>
      </c>
      <c r="E659" t="s">
        <v>1003</v>
      </c>
      <c r="G659" t="s">
        <v>330</v>
      </c>
      <c r="H659" t="s">
        <v>301</v>
      </c>
      <c r="I659" t="s">
        <v>303</v>
      </c>
      <c r="J659" t="s">
        <v>1004</v>
      </c>
      <c r="K659">
        <v>3000</v>
      </c>
    </row>
    <row r="660" spans="1:11">
      <c r="A660" t="s">
        <v>1005</v>
      </c>
      <c r="B660" t="b">
        <v>0</v>
      </c>
      <c r="C660" t="s">
        <v>330</v>
      </c>
      <c r="D660" t="s">
        <v>322</v>
      </c>
      <c r="E660" t="s">
        <v>330</v>
      </c>
      <c r="H660" t="s">
        <v>301</v>
      </c>
      <c r="I660" t="s">
        <v>303</v>
      </c>
      <c r="J660" t="s">
        <v>1004</v>
      </c>
      <c r="K660">
        <v>3000</v>
      </c>
    </row>
    <row r="661" spans="1:11">
      <c r="A661" t="s">
        <v>1006</v>
      </c>
      <c r="B661" t="b">
        <v>0</v>
      </c>
      <c r="C661" t="s">
        <v>301</v>
      </c>
      <c r="D661" t="s">
        <v>322</v>
      </c>
      <c r="E661" t="s">
        <v>1003</v>
      </c>
      <c r="H661" t="s">
        <v>301</v>
      </c>
      <c r="I661" t="s">
        <v>303</v>
      </c>
      <c r="J661" t="s">
        <v>1004</v>
      </c>
      <c r="K661">
        <v>3000</v>
      </c>
    </row>
    <row r="662" spans="1:11">
      <c r="A662" t="s">
        <v>1007</v>
      </c>
      <c r="B662" t="b">
        <v>0</v>
      </c>
      <c r="C662" t="s">
        <v>340</v>
      </c>
      <c r="D662" t="s">
        <v>322</v>
      </c>
      <c r="E662" t="s">
        <v>1003</v>
      </c>
      <c r="H662" t="s">
        <v>340</v>
      </c>
      <c r="I662" t="s">
        <v>303</v>
      </c>
      <c r="J662" t="s">
        <v>1004</v>
      </c>
      <c r="K662">
        <v>3000</v>
      </c>
    </row>
    <row r="663" spans="1:11">
      <c r="A663" t="s">
        <v>1008</v>
      </c>
      <c r="B663" t="b">
        <v>0</v>
      </c>
      <c r="C663" t="s">
        <v>301</v>
      </c>
      <c r="D663" t="s">
        <v>1009</v>
      </c>
      <c r="E663" t="s">
        <v>301</v>
      </c>
      <c r="H663" t="s">
        <v>301</v>
      </c>
      <c r="I663" t="s">
        <v>303</v>
      </c>
      <c r="J663" t="s">
        <v>1004</v>
      </c>
      <c r="K663">
        <v>3000</v>
      </c>
    </row>
    <row r="664" spans="1:11">
      <c r="A664" t="s">
        <v>1010</v>
      </c>
      <c r="B664" t="b">
        <v>0</v>
      </c>
      <c r="C664" t="s">
        <v>330</v>
      </c>
      <c r="D664" t="s">
        <v>322</v>
      </c>
      <c r="E664" t="s">
        <v>330</v>
      </c>
      <c r="H664" t="s">
        <v>301</v>
      </c>
      <c r="I664" t="s">
        <v>303</v>
      </c>
      <c r="J664" t="s">
        <v>1004</v>
      </c>
      <c r="K664">
        <v>3000</v>
      </c>
    </row>
    <row r="665" spans="1:11">
      <c r="A665" t="s">
        <v>1011</v>
      </c>
      <c r="B665" t="b">
        <v>0</v>
      </c>
      <c r="C665" t="s">
        <v>353</v>
      </c>
      <c r="D665" t="s">
        <v>354</v>
      </c>
      <c r="E665" t="s">
        <v>353</v>
      </c>
      <c r="H665" t="s">
        <v>301</v>
      </c>
      <c r="I665" t="s">
        <v>303</v>
      </c>
      <c r="J665" t="s">
        <v>1004</v>
      </c>
      <c r="K665">
        <v>3000</v>
      </c>
    </row>
    <row r="666" spans="1:11">
      <c r="A666" t="s">
        <v>1012</v>
      </c>
      <c r="B666" t="b">
        <v>0</v>
      </c>
      <c r="C666" t="s">
        <v>301</v>
      </c>
      <c r="D666" t="s">
        <v>322</v>
      </c>
      <c r="E666" t="s">
        <v>1003</v>
      </c>
      <c r="H666" t="s">
        <v>301</v>
      </c>
      <c r="I666" t="s">
        <v>303</v>
      </c>
      <c r="J666" t="s">
        <v>1004</v>
      </c>
      <c r="K666">
        <v>3000</v>
      </c>
    </row>
    <row r="667" spans="1:11">
      <c r="A667" t="s">
        <v>1013</v>
      </c>
      <c r="B667" t="b">
        <v>0</v>
      </c>
      <c r="C667" t="s">
        <v>301</v>
      </c>
      <c r="D667" t="s">
        <v>322</v>
      </c>
      <c r="E667" t="s">
        <v>1003</v>
      </c>
      <c r="H667" t="s">
        <v>301</v>
      </c>
      <c r="I667" t="s">
        <v>303</v>
      </c>
      <c r="J667" t="s">
        <v>1004</v>
      </c>
      <c r="K667">
        <v>3000</v>
      </c>
    </row>
    <row r="668" spans="1:11">
      <c r="A668" t="s">
        <v>1014</v>
      </c>
      <c r="B668" t="b">
        <v>0</v>
      </c>
      <c r="C668" t="s">
        <v>301</v>
      </c>
      <c r="D668" t="s">
        <v>322</v>
      </c>
      <c r="E668" t="s">
        <v>1003</v>
      </c>
      <c r="H668" t="s">
        <v>301</v>
      </c>
      <c r="I668" t="s">
        <v>303</v>
      </c>
      <c r="J668" t="s">
        <v>1004</v>
      </c>
      <c r="K668">
        <v>3000</v>
      </c>
    </row>
    <row r="669" spans="1:11">
      <c r="A669" t="s">
        <v>1015</v>
      </c>
      <c r="B669" t="b">
        <v>0</v>
      </c>
      <c r="H669" t="s">
        <v>302</v>
      </c>
      <c r="I669" t="s">
        <v>303</v>
      </c>
      <c r="J669" t="s">
        <v>1004</v>
      </c>
      <c r="K669">
        <v>3000</v>
      </c>
    </row>
    <row r="670" spans="1:11">
      <c r="A670" t="s">
        <v>1016</v>
      </c>
      <c r="B670" t="b">
        <v>0</v>
      </c>
      <c r="C670" t="s">
        <v>301</v>
      </c>
      <c r="D670" t="s">
        <v>322</v>
      </c>
      <c r="E670" t="s">
        <v>1003</v>
      </c>
      <c r="H670" t="s">
        <v>301</v>
      </c>
      <c r="I670" t="s">
        <v>303</v>
      </c>
      <c r="J670" t="s">
        <v>1004</v>
      </c>
      <c r="K670">
        <v>3000</v>
      </c>
    </row>
    <row r="671" spans="1:11">
      <c r="A671" t="s">
        <v>1017</v>
      </c>
      <c r="B671" t="b">
        <v>0</v>
      </c>
      <c r="C671" t="s">
        <v>301</v>
      </c>
      <c r="D671" t="s">
        <v>301</v>
      </c>
      <c r="E671" t="s">
        <v>301</v>
      </c>
      <c r="H671" t="s">
        <v>301</v>
      </c>
      <c r="I671" t="s">
        <v>303</v>
      </c>
      <c r="J671" t="s">
        <v>1004</v>
      </c>
      <c r="K671">
        <v>3000</v>
      </c>
    </row>
    <row r="672" spans="1:11">
      <c r="A672" t="s">
        <v>1018</v>
      </c>
      <c r="B672" t="b">
        <v>0</v>
      </c>
      <c r="C672" t="s">
        <v>376</v>
      </c>
      <c r="D672" t="s">
        <v>322</v>
      </c>
      <c r="E672" t="s">
        <v>376</v>
      </c>
      <c r="H672" t="s">
        <v>301</v>
      </c>
      <c r="I672" t="s">
        <v>1019</v>
      </c>
      <c r="J672" t="s">
        <v>1020</v>
      </c>
      <c r="K672">
        <v>3000</v>
      </c>
    </row>
    <row r="673" spans="1:11">
      <c r="A673" t="s">
        <v>1021</v>
      </c>
      <c r="B673" t="b">
        <v>0</v>
      </c>
      <c r="C673" t="s">
        <v>353</v>
      </c>
      <c r="D673" t="s">
        <v>354</v>
      </c>
      <c r="E673" t="s">
        <v>1022</v>
      </c>
      <c r="H673" t="s">
        <v>301</v>
      </c>
      <c r="I673" t="s">
        <v>1019</v>
      </c>
      <c r="J673" t="s">
        <v>1020</v>
      </c>
      <c r="K673">
        <v>3000</v>
      </c>
    </row>
    <row r="674" spans="1:11">
      <c r="A674" t="s">
        <v>1023</v>
      </c>
      <c r="B674" t="b">
        <v>0</v>
      </c>
      <c r="C674" t="s">
        <v>340</v>
      </c>
      <c r="D674" t="s">
        <v>340</v>
      </c>
      <c r="E674" t="s">
        <v>340</v>
      </c>
      <c r="H674" t="s">
        <v>340</v>
      </c>
      <c r="I674" t="s">
        <v>1019</v>
      </c>
      <c r="J674" t="s">
        <v>1020</v>
      </c>
      <c r="K674">
        <v>3000</v>
      </c>
    </row>
    <row r="675" spans="1:11">
      <c r="A675" t="s">
        <v>1024</v>
      </c>
      <c r="B675" t="b">
        <v>0</v>
      </c>
      <c r="C675" t="s">
        <v>340</v>
      </c>
      <c r="D675" t="s">
        <v>340</v>
      </c>
      <c r="E675" t="s">
        <v>340</v>
      </c>
      <c r="H675" t="s">
        <v>340</v>
      </c>
      <c r="I675" t="s">
        <v>1019</v>
      </c>
      <c r="J675" t="s">
        <v>1020</v>
      </c>
      <c r="K675">
        <v>3000</v>
      </c>
    </row>
    <row r="676" spans="1:11">
      <c r="A676" t="s">
        <v>1025</v>
      </c>
      <c r="B676" t="b">
        <v>0</v>
      </c>
      <c r="C676" t="s">
        <v>340</v>
      </c>
      <c r="D676" t="s">
        <v>340</v>
      </c>
      <c r="E676" t="s">
        <v>340</v>
      </c>
      <c r="H676" t="s">
        <v>340</v>
      </c>
      <c r="I676" t="s">
        <v>1019</v>
      </c>
      <c r="J676" t="s">
        <v>1020</v>
      </c>
      <c r="K676">
        <v>3000</v>
      </c>
    </row>
    <row r="677" spans="1:11">
      <c r="A677" t="s">
        <v>1026</v>
      </c>
      <c r="B677" t="b">
        <v>0</v>
      </c>
      <c r="H677" t="s">
        <v>301</v>
      </c>
      <c r="I677" t="s">
        <v>1019</v>
      </c>
      <c r="J677" t="s">
        <v>1020</v>
      </c>
      <c r="K677">
        <v>3000</v>
      </c>
    </row>
    <row r="678" spans="1:11">
      <c r="A678" t="s">
        <v>1027</v>
      </c>
      <c r="B678" t="b">
        <v>0</v>
      </c>
      <c r="H678" t="s">
        <v>302</v>
      </c>
      <c r="I678" t="s">
        <v>1019</v>
      </c>
      <c r="J678" t="s">
        <v>1020</v>
      </c>
      <c r="K678">
        <v>3000</v>
      </c>
    </row>
    <row r="679" spans="1:11">
      <c r="A679" t="s">
        <v>1028</v>
      </c>
      <c r="B679" t="b">
        <v>0</v>
      </c>
      <c r="H679" t="s">
        <v>302</v>
      </c>
      <c r="I679" t="s">
        <v>1019</v>
      </c>
      <c r="J679" t="s">
        <v>1020</v>
      </c>
      <c r="K679">
        <v>3000</v>
      </c>
    </row>
    <row r="680" spans="1:11">
      <c r="A680" t="s">
        <v>1029</v>
      </c>
      <c r="B680" t="b">
        <v>0</v>
      </c>
      <c r="H680" t="s">
        <v>302</v>
      </c>
      <c r="I680" t="s">
        <v>303</v>
      </c>
      <c r="J680" t="s">
        <v>325</v>
      </c>
      <c r="K680">
        <v>3000</v>
      </c>
    </row>
    <row r="681" spans="1:11">
      <c r="A681" t="s">
        <v>1030</v>
      </c>
      <c r="B681" t="b">
        <v>0</v>
      </c>
      <c r="H681" t="s">
        <v>302</v>
      </c>
      <c r="I681" t="s">
        <v>303</v>
      </c>
      <c r="J681" t="s">
        <v>325</v>
      </c>
      <c r="K681">
        <v>3000</v>
      </c>
    </row>
    <row r="682" spans="1:11">
      <c r="A682" t="s">
        <v>1031</v>
      </c>
      <c r="B682" t="b">
        <v>0</v>
      </c>
      <c r="C682" t="s">
        <v>301</v>
      </c>
      <c r="D682" t="s">
        <v>301</v>
      </c>
      <c r="E682" t="s">
        <v>301</v>
      </c>
      <c r="H682" t="s">
        <v>302</v>
      </c>
      <c r="I682" t="s">
        <v>303</v>
      </c>
      <c r="J682" t="s">
        <v>325</v>
      </c>
      <c r="K682">
        <v>3000</v>
      </c>
    </row>
    <row r="683" spans="1:11">
      <c r="A683" t="s">
        <v>1032</v>
      </c>
      <c r="B683" t="b">
        <v>0</v>
      </c>
      <c r="H683" t="s">
        <v>302</v>
      </c>
      <c r="I683" t="s">
        <v>303</v>
      </c>
      <c r="J683" t="s">
        <v>325</v>
      </c>
      <c r="K683">
        <v>3000</v>
      </c>
    </row>
    <row r="684" spans="1:11">
      <c r="A684" t="s">
        <v>1033</v>
      </c>
      <c r="B684" t="b">
        <v>0</v>
      </c>
      <c r="C684" t="s">
        <v>330</v>
      </c>
      <c r="D684" t="s">
        <v>322</v>
      </c>
      <c r="E684" t="s">
        <v>1003</v>
      </c>
      <c r="H684" t="s">
        <v>302</v>
      </c>
      <c r="I684" t="s">
        <v>303</v>
      </c>
      <c r="J684" t="s">
        <v>325</v>
      </c>
      <c r="K684">
        <v>3000</v>
      </c>
    </row>
    <row r="685" spans="1:11">
      <c r="A685" t="s">
        <v>1034</v>
      </c>
      <c r="B685" t="b">
        <v>0</v>
      </c>
      <c r="C685" t="s">
        <v>301</v>
      </c>
      <c r="D685" t="s">
        <v>322</v>
      </c>
      <c r="E685" t="s">
        <v>1003</v>
      </c>
      <c r="H685" t="s">
        <v>302</v>
      </c>
      <c r="I685" t="s">
        <v>303</v>
      </c>
      <c r="J685" t="s">
        <v>325</v>
      </c>
      <c r="K685">
        <v>3000</v>
      </c>
    </row>
    <row r="686" spans="1:11">
      <c r="A686" t="s">
        <v>1035</v>
      </c>
      <c r="B686" t="b">
        <v>0</v>
      </c>
      <c r="H686" t="s">
        <v>302</v>
      </c>
      <c r="I686" t="s">
        <v>303</v>
      </c>
      <c r="J686" t="s">
        <v>325</v>
      </c>
      <c r="K686">
        <v>3000</v>
      </c>
    </row>
    <row r="687" spans="1:11">
      <c r="A687" t="s">
        <v>1036</v>
      </c>
      <c r="B687" t="b">
        <v>0</v>
      </c>
      <c r="C687" t="s">
        <v>340</v>
      </c>
      <c r="D687" t="s">
        <v>322</v>
      </c>
      <c r="E687" t="s">
        <v>1003</v>
      </c>
      <c r="H687" t="s">
        <v>302</v>
      </c>
      <c r="I687" t="s">
        <v>303</v>
      </c>
      <c r="J687" t="s">
        <v>325</v>
      </c>
      <c r="K687">
        <v>3000</v>
      </c>
    </row>
    <row r="688" spans="1:11">
      <c r="A688" t="s">
        <v>1037</v>
      </c>
      <c r="B688" t="b">
        <v>0</v>
      </c>
      <c r="C688" t="s">
        <v>330</v>
      </c>
      <c r="D688" t="s">
        <v>322</v>
      </c>
      <c r="E688" t="s">
        <v>1003</v>
      </c>
      <c r="H688" t="s">
        <v>302</v>
      </c>
      <c r="I688" t="s">
        <v>303</v>
      </c>
      <c r="J688" t="s">
        <v>325</v>
      </c>
      <c r="K688">
        <v>3000</v>
      </c>
    </row>
    <row r="689" spans="1:11">
      <c r="A689" t="s">
        <v>1038</v>
      </c>
      <c r="B689" t="b">
        <v>0</v>
      </c>
      <c r="C689" t="s">
        <v>301</v>
      </c>
      <c r="D689" t="s">
        <v>301</v>
      </c>
      <c r="E689" t="s">
        <v>301</v>
      </c>
      <c r="H689" t="s">
        <v>302</v>
      </c>
      <c r="I689" t="s">
        <v>303</v>
      </c>
      <c r="J689" t="s">
        <v>325</v>
      </c>
      <c r="K689">
        <v>3000</v>
      </c>
    </row>
    <row r="690" spans="1:11">
      <c r="A690" t="s">
        <v>1039</v>
      </c>
      <c r="B690" t="b">
        <v>0</v>
      </c>
      <c r="H690" t="s">
        <v>302</v>
      </c>
      <c r="I690" t="s">
        <v>303</v>
      </c>
      <c r="J690" t="s">
        <v>325</v>
      </c>
      <c r="K690">
        <v>3000</v>
      </c>
    </row>
    <row r="691" spans="1:11">
      <c r="A691" t="s">
        <v>1040</v>
      </c>
      <c r="B691" t="b">
        <v>0</v>
      </c>
      <c r="C691" t="s">
        <v>353</v>
      </c>
      <c r="D691" t="s">
        <v>354</v>
      </c>
      <c r="E691" t="s">
        <v>353</v>
      </c>
      <c r="H691" t="s">
        <v>302</v>
      </c>
      <c r="I691" t="s">
        <v>303</v>
      </c>
      <c r="J691" t="s">
        <v>1004</v>
      </c>
      <c r="K691">
        <v>3000</v>
      </c>
    </row>
    <row r="692" spans="1:11">
      <c r="A692" t="s">
        <v>1041</v>
      </c>
      <c r="B692" t="b">
        <v>0</v>
      </c>
      <c r="C692" t="s">
        <v>301</v>
      </c>
      <c r="E692" t="s">
        <v>301</v>
      </c>
      <c r="H692" t="s">
        <v>302</v>
      </c>
      <c r="I692" t="s">
        <v>303</v>
      </c>
      <c r="J692" t="s">
        <v>1004</v>
      </c>
      <c r="K692">
        <v>3000</v>
      </c>
    </row>
    <row r="693" spans="1:11">
      <c r="A693" t="s">
        <v>1042</v>
      </c>
      <c r="B693" t="b">
        <v>0</v>
      </c>
      <c r="G693" t="s">
        <v>301</v>
      </c>
      <c r="H693" t="s">
        <v>302</v>
      </c>
      <c r="I693" t="s">
        <v>303</v>
      </c>
      <c r="J693" t="s">
        <v>1004</v>
      </c>
      <c r="K693">
        <v>3000</v>
      </c>
    </row>
    <row r="694" spans="1:11">
      <c r="A694" t="s">
        <v>1043</v>
      </c>
      <c r="B694" t="b">
        <v>0</v>
      </c>
      <c r="H694" t="s">
        <v>302</v>
      </c>
      <c r="I694" t="s">
        <v>303</v>
      </c>
      <c r="J694" t="s">
        <v>1004</v>
      </c>
      <c r="K694">
        <v>3000</v>
      </c>
    </row>
    <row r="695" spans="1:11">
      <c r="A695" t="s">
        <v>1044</v>
      </c>
      <c r="B695" t="b">
        <v>0</v>
      </c>
      <c r="H695" t="s">
        <v>302</v>
      </c>
      <c r="I695" t="s">
        <v>303</v>
      </c>
      <c r="J695" t="s">
        <v>1004</v>
      </c>
      <c r="K695">
        <v>3000</v>
      </c>
    </row>
    <row r="696" spans="1:11">
      <c r="A696" t="s">
        <v>1045</v>
      </c>
      <c r="B696" t="b">
        <v>0</v>
      </c>
      <c r="H696" t="s">
        <v>302</v>
      </c>
      <c r="I696" t="s">
        <v>303</v>
      </c>
      <c r="J696" t="s">
        <v>1004</v>
      </c>
      <c r="K696">
        <v>3000</v>
      </c>
    </row>
    <row r="697" spans="1:11">
      <c r="A697" t="s">
        <v>1046</v>
      </c>
      <c r="B697" t="b">
        <v>0</v>
      </c>
      <c r="H697" t="s">
        <v>302</v>
      </c>
      <c r="I697" t="s">
        <v>303</v>
      </c>
      <c r="J697" t="s">
        <v>1004</v>
      </c>
      <c r="K697">
        <v>3000</v>
      </c>
    </row>
    <row r="698" spans="1:11">
      <c r="A698" t="s">
        <v>1047</v>
      </c>
      <c r="B698" t="b">
        <v>0</v>
      </c>
      <c r="C698" t="s">
        <v>376</v>
      </c>
      <c r="D698" t="s">
        <v>322</v>
      </c>
      <c r="E698" t="s">
        <v>376</v>
      </c>
      <c r="H698" t="s">
        <v>301</v>
      </c>
      <c r="I698" t="s">
        <v>303</v>
      </c>
      <c r="J698" t="s">
        <v>1004</v>
      </c>
      <c r="K698">
        <v>3000</v>
      </c>
    </row>
    <row r="699" spans="1:11">
      <c r="A699" t="s">
        <v>1048</v>
      </c>
      <c r="B699" t="b">
        <v>0</v>
      </c>
      <c r="C699" t="s">
        <v>301</v>
      </c>
      <c r="D699" t="s">
        <v>301</v>
      </c>
      <c r="E699" t="s">
        <v>301</v>
      </c>
      <c r="H699" t="s">
        <v>301</v>
      </c>
      <c r="I699" t="s">
        <v>303</v>
      </c>
      <c r="J699" t="s">
        <v>1004</v>
      </c>
      <c r="K699">
        <v>3000</v>
      </c>
    </row>
    <row r="700" spans="1:11">
      <c r="A700" t="s">
        <v>1049</v>
      </c>
      <c r="B700" t="b">
        <v>0</v>
      </c>
      <c r="H700" t="s">
        <v>302</v>
      </c>
      <c r="I700" t="s">
        <v>303</v>
      </c>
      <c r="J700" t="s">
        <v>1004</v>
      </c>
      <c r="K700">
        <v>3000</v>
      </c>
    </row>
    <row r="701" spans="1:11">
      <c r="A701" t="s">
        <v>1050</v>
      </c>
      <c r="B701" t="b">
        <v>0</v>
      </c>
      <c r="C701" t="s">
        <v>353</v>
      </c>
      <c r="D701" t="s">
        <v>389</v>
      </c>
      <c r="E701" t="s">
        <v>353</v>
      </c>
      <c r="H701" t="s">
        <v>302</v>
      </c>
      <c r="I701" t="s">
        <v>303</v>
      </c>
      <c r="J701" t="s">
        <v>1004</v>
      </c>
      <c r="K701">
        <v>3000</v>
      </c>
    </row>
    <row r="702" spans="1:11">
      <c r="A702" t="s">
        <v>1051</v>
      </c>
      <c r="B702" t="b">
        <v>0</v>
      </c>
      <c r="H702" t="s">
        <v>302</v>
      </c>
      <c r="I702" t="s">
        <v>303</v>
      </c>
      <c r="J702" t="s">
        <v>1004</v>
      </c>
      <c r="K702">
        <v>3000</v>
      </c>
    </row>
    <row r="703" spans="1:11">
      <c r="A703" t="s">
        <v>1052</v>
      </c>
      <c r="B703" t="b">
        <v>0</v>
      </c>
      <c r="H703" t="s">
        <v>302</v>
      </c>
      <c r="I703" t="s">
        <v>303</v>
      </c>
      <c r="J703" t="s">
        <v>1004</v>
      </c>
      <c r="K703">
        <v>3000</v>
      </c>
    </row>
    <row r="704" spans="1:11">
      <c r="A704" t="s">
        <v>1053</v>
      </c>
      <c r="B704" t="b">
        <v>0</v>
      </c>
      <c r="H704" t="s">
        <v>302</v>
      </c>
      <c r="I704" t="s">
        <v>303</v>
      </c>
      <c r="J704" t="s">
        <v>539</v>
      </c>
    </row>
    <row r="705" spans="1:11">
      <c r="A705" t="s">
        <v>1054</v>
      </c>
      <c r="B705" t="b">
        <v>0</v>
      </c>
      <c r="H705" t="s">
        <v>302</v>
      </c>
      <c r="I705" t="s">
        <v>303</v>
      </c>
      <c r="J705" t="s">
        <v>539</v>
      </c>
    </row>
    <row r="706" spans="1:11">
      <c r="A706" t="s">
        <v>1055</v>
      </c>
      <c r="B706" t="b">
        <v>0</v>
      </c>
      <c r="H706" t="s">
        <v>302</v>
      </c>
      <c r="I706" t="s">
        <v>303</v>
      </c>
      <c r="J706" t="s">
        <v>539</v>
      </c>
    </row>
    <row r="707" spans="1:11">
      <c r="A707" t="s">
        <v>1056</v>
      </c>
      <c r="B707" t="b">
        <v>0</v>
      </c>
      <c r="C707" t="s">
        <v>301</v>
      </c>
      <c r="D707" t="s">
        <v>301</v>
      </c>
      <c r="E707" t="s">
        <v>301</v>
      </c>
      <c r="H707" t="s">
        <v>302</v>
      </c>
      <c r="I707" t="s">
        <v>303</v>
      </c>
      <c r="J707" t="s">
        <v>1057</v>
      </c>
      <c r="K707">
        <v>3000</v>
      </c>
    </row>
    <row r="708" spans="1:11">
      <c r="A708" t="s">
        <v>1058</v>
      </c>
      <c r="B708" t="b">
        <v>0</v>
      </c>
      <c r="C708" t="s">
        <v>340</v>
      </c>
      <c r="D708" t="s">
        <v>340</v>
      </c>
      <c r="E708" t="s">
        <v>340</v>
      </c>
      <c r="H708" t="s">
        <v>302</v>
      </c>
      <c r="I708" t="s">
        <v>303</v>
      </c>
      <c r="J708" t="s">
        <v>1057</v>
      </c>
      <c r="K708">
        <v>3000</v>
      </c>
    </row>
    <row r="709" spans="1:11">
      <c r="A709" t="s">
        <v>1059</v>
      </c>
      <c r="B709" t="b">
        <v>0</v>
      </c>
      <c r="C709" t="s">
        <v>301</v>
      </c>
      <c r="D709" t="s">
        <v>301</v>
      </c>
      <c r="E709" t="s">
        <v>301</v>
      </c>
      <c r="H709" t="s">
        <v>302</v>
      </c>
      <c r="I709" t="s">
        <v>303</v>
      </c>
      <c r="J709" t="s">
        <v>1057</v>
      </c>
      <c r="K709">
        <v>3000</v>
      </c>
    </row>
    <row r="710" spans="1:11">
      <c r="A710" t="s">
        <v>1060</v>
      </c>
      <c r="B710" t="b">
        <v>0</v>
      </c>
      <c r="C710" t="s">
        <v>301</v>
      </c>
      <c r="D710" t="s">
        <v>322</v>
      </c>
      <c r="E710" t="s">
        <v>323</v>
      </c>
      <c r="H710" t="s">
        <v>302</v>
      </c>
      <c r="I710" t="s">
        <v>303</v>
      </c>
      <c r="J710" t="s">
        <v>1057</v>
      </c>
      <c r="K710">
        <v>3000</v>
      </c>
    </row>
    <row r="711" spans="1:11">
      <c r="A711" t="s">
        <v>1061</v>
      </c>
      <c r="B711" t="b">
        <v>0</v>
      </c>
      <c r="C711" t="s">
        <v>301</v>
      </c>
      <c r="D711" t="s">
        <v>322</v>
      </c>
      <c r="E711" t="s">
        <v>323</v>
      </c>
      <c r="H711" t="s">
        <v>302</v>
      </c>
      <c r="I711" t="s">
        <v>303</v>
      </c>
      <c r="J711" t="s">
        <v>1057</v>
      </c>
      <c r="K711">
        <v>3000</v>
      </c>
    </row>
    <row r="712" spans="1:11">
      <c r="A712" t="s">
        <v>1062</v>
      </c>
      <c r="B712" t="b">
        <v>0</v>
      </c>
      <c r="C712" t="s">
        <v>301</v>
      </c>
      <c r="D712" t="s">
        <v>322</v>
      </c>
      <c r="E712" t="s">
        <v>323</v>
      </c>
      <c r="H712" t="s">
        <v>302</v>
      </c>
      <c r="I712" t="s">
        <v>303</v>
      </c>
      <c r="J712" t="s">
        <v>1057</v>
      </c>
      <c r="K712">
        <v>3000</v>
      </c>
    </row>
    <row r="713" spans="1:11">
      <c r="A713" t="s">
        <v>1063</v>
      </c>
      <c r="B713" t="b">
        <v>0</v>
      </c>
      <c r="C713" t="s">
        <v>330</v>
      </c>
      <c r="D713" t="s">
        <v>322</v>
      </c>
      <c r="E713" t="s">
        <v>323</v>
      </c>
      <c r="H713" t="s">
        <v>302</v>
      </c>
      <c r="I713" t="s">
        <v>303</v>
      </c>
      <c r="J713" t="s">
        <v>1057</v>
      </c>
      <c r="K713">
        <v>3000</v>
      </c>
    </row>
    <row r="714" spans="1:11">
      <c r="A714" t="s">
        <v>1064</v>
      </c>
      <c r="B714" t="b">
        <v>0</v>
      </c>
      <c r="C714" t="s">
        <v>340</v>
      </c>
      <c r="D714" t="s">
        <v>340</v>
      </c>
      <c r="E714" t="s">
        <v>340</v>
      </c>
      <c r="H714" t="s">
        <v>302</v>
      </c>
      <c r="I714" t="s">
        <v>303</v>
      </c>
      <c r="J714" t="s">
        <v>1057</v>
      </c>
      <c r="K714">
        <v>3000</v>
      </c>
    </row>
    <row r="715" spans="1:11">
      <c r="A715" t="s">
        <v>1065</v>
      </c>
      <c r="B715" t="b">
        <v>0</v>
      </c>
      <c r="H715" t="s">
        <v>302</v>
      </c>
      <c r="I715" t="s">
        <v>303</v>
      </c>
      <c r="J715" t="s">
        <v>1057</v>
      </c>
      <c r="K715">
        <v>3000</v>
      </c>
    </row>
    <row r="716" spans="1:11">
      <c r="A716" t="s">
        <v>1066</v>
      </c>
      <c r="B716" t="b">
        <v>0</v>
      </c>
      <c r="H716" t="s">
        <v>302</v>
      </c>
      <c r="I716" t="s">
        <v>303</v>
      </c>
      <c r="J716" t="s">
        <v>1057</v>
      </c>
      <c r="K716">
        <v>3000</v>
      </c>
    </row>
    <row r="717" spans="1:11">
      <c r="A717" t="s">
        <v>1067</v>
      </c>
      <c r="B717" t="b">
        <v>0</v>
      </c>
      <c r="H717" t="s">
        <v>302</v>
      </c>
      <c r="I717" t="s">
        <v>303</v>
      </c>
      <c r="J717" t="s">
        <v>539</v>
      </c>
    </row>
    <row r="718" spans="1:11">
      <c r="A718" t="s">
        <v>1068</v>
      </c>
      <c r="B718" t="b">
        <v>0</v>
      </c>
      <c r="H718" t="s">
        <v>302</v>
      </c>
      <c r="I718" t="s">
        <v>303</v>
      </c>
      <c r="J718" t="s">
        <v>539</v>
      </c>
    </row>
    <row r="719" spans="1:11">
      <c r="A719" t="s">
        <v>1069</v>
      </c>
      <c r="B719" t="b">
        <v>0</v>
      </c>
      <c r="H719" t="s">
        <v>302</v>
      </c>
      <c r="I719" t="s">
        <v>303</v>
      </c>
      <c r="J719" t="s">
        <v>539</v>
      </c>
    </row>
    <row r="720" spans="1:11">
      <c r="A720" t="s">
        <v>1070</v>
      </c>
      <c r="B720" t="b">
        <v>0</v>
      </c>
      <c r="C720" t="s">
        <v>301</v>
      </c>
      <c r="D720" t="s">
        <v>301</v>
      </c>
      <c r="E720" t="s">
        <v>301</v>
      </c>
      <c r="H720" t="s">
        <v>302</v>
      </c>
      <c r="I720" t="s">
        <v>303</v>
      </c>
      <c r="J720" t="s">
        <v>539</v>
      </c>
    </row>
    <row r="721" spans="1:10">
      <c r="A721" t="s">
        <v>1071</v>
      </c>
      <c r="B721" t="b">
        <v>0</v>
      </c>
      <c r="H721" t="s">
        <v>302</v>
      </c>
      <c r="I721" t="s">
        <v>303</v>
      </c>
      <c r="J721" t="s">
        <v>539</v>
      </c>
    </row>
    <row r="722" spans="1:10">
      <c r="A722" t="s">
        <v>1072</v>
      </c>
      <c r="B722" t="b">
        <v>0</v>
      </c>
      <c r="H722" t="s">
        <v>302</v>
      </c>
      <c r="I722" t="s">
        <v>303</v>
      </c>
      <c r="J722" t="s">
        <v>539</v>
      </c>
    </row>
    <row r="723" spans="1:10">
      <c r="A723" t="s">
        <v>1073</v>
      </c>
      <c r="B723" t="b">
        <v>0</v>
      </c>
      <c r="H723" t="s">
        <v>302</v>
      </c>
      <c r="I723" t="s">
        <v>303</v>
      </c>
      <c r="J723" t="s">
        <v>539</v>
      </c>
    </row>
    <row r="724" spans="1:10">
      <c r="A724" t="s">
        <v>1074</v>
      </c>
      <c r="B724" t="b">
        <v>0</v>
      </c>
      <c r="H724" t="s">
        <v>302</v>
      </c>
      <c r="I724" t="s">
        <v>303</v>
      </c>
      <c r="J724" t="s">
        <v>539</v>
      </c>
    </row>
    <row r="725" spans="1:10">
      <c r="A725" t="s">
        <v>1075</v>
      </c>
      <c r="B725" t="b">
        <v>0</v>
      </c>
      <c r="H725" t="s">
        <v>302</v>
      </c>
      <c r="I725" t="s">
        <v>303</v>
      </c>
      <c r="J725" t="s">
        <v>539</v>
      </c>
    </row>
    <row r="726" spans="1:10">
      <c r="A726" t="s">
        <v>1076</v>
      </c>
      <c r="B726" t="b">
        <v>0</v>
      </c>
      <c r="H726" t="s">
        <v>302</v>
      </c>
      <c r="I726" t="s">
        <v>303</v>
      </c>
      <c r="J726" t="s">
        <v>539</v>
      </c>
    </row>
    <row r="727" spans="1:10">
      <c r="A727" t="s">
        <v>1077</v>
      </c>
      <c r="B727" t="b">
        <v>0</v>
      </c>
      <c r="H727" t="s">
        <v>302</v>
      </c>
      <c r="I727" t="s">
        <v>303</v>
      </c>
      <c r="J727" t="s">
        <v>539</v>
      </c>
    </row>
    <row r="728" spans="1:10">
      <c r="A728" t="s">
        <v>1078</v>
      </c>
      <c r="B728" t="b">
        <v>0</v>
      </c>
      <c r="H728" t="s">
        <v>302</v>
      </c>
      <c r="I728" t="s">
        <v>303</v>
      </c>
      <c r="J728" t="s">
        <v>539</v>
      </c>
    </row>
    <row r="729" spans="1:10">
      <c r="A729" t="s">
        <v>1079</v>
      </c>
      <c r="B729" t="b">
        <v>0</v>
      </c>
      <c r="H729" t="s">
        <v>302</v>
      </c>
      <c r="I729" t="s">
        <v>303</v>
      </c>
      <c r="J729" t="s">
        <v>539</v>
      </c>
    </row>
    <row r="730" spans="1:10">
      <c r="A730" t="s">
        <v>1080</v>
      </c>
      <c r="B730" t="b">
        <v>0</v>
      </c>
      <c r="H730" t="s">
        <v>302</v>
      </c>
      <c r="I730" t="s">
        <v>303</v>
      </c>
      <c r="J730" t="s">
        <v>539</v>
      </c>
    </row>
    <row r="731" spans="1:10">
      <c r="A731" t="s">
        <v>1081</v>
      </c>
      <c r="B731" t="b">
        <v>0</v>
      </c>
      <c r="H731" t="s">
        <v>302</v>
      </c>
      <c r="I731" t="s">
        <v>303</v>
      </c>
      <c r="J731" t="s">
        <v>539</v>
      </c>
    </row>
    <row r="732" spans="1:10">
      <c r="A732" t="s">
        <v>1082</v>
      </c>
      <c r="B732" t="b">
        <v>0</v>
      </c>
      <c r="H732" t="s">
        <v>302</v>
      </c>
      <c r="I732" t="s">
        <v>303</v>
      </c>
      <c r="J732" t="s">
        <v>539</v>
      </c>
    </row>
    <row r="733" spans="1:10">
      <c r="A733" t="s">
        <v>1083</v>
      </c>
      <c r="B733" t="b">
        <v>0</v>
      </c>
      <c r="H733" t="s">
        <v>302</v>
      </c>
      <c r="I733" t="s">
        <v>303</v>
      </c>
      <c r="J733" t="s">
        <v>539</v>
      </c>
    </row>
    <row r="734" spans="1:10">
      <c r="A734" t="s">
        <v>1084</v>
      </c>
      <c r="B734" t="b">
        <v>0</v>
      </c>
      <c r="H734" t="s">
        <v>302</v>
      </c>
      <c r="I734" t="s">
        <v>303</v>
      </c>
      <c r="J734" t="s">
        <v>539</v>
      </c>
    </row>
    <row r="735" spans="1:10">
      <c r="A735" t="s">
        <v>1085</v>
      </c>
      <c r="B735" t="b">
        <v>0</v>
      </c>
      <c r="H735" t="s">
        <v>302</v>
      </c>
      <c r="I735" t="s">
        <v>303</v>
      </c>
      <c r="J735" t="s">
        <v>539</v>
      </c>
    </row>
    <row r="736" spans="1:10">
      <c r="A736" t="s">
        <v>1086</v>
      </c>
      <c r="B736" t="b">
        <v>0</v>
      </c>
      <c r="H736" t="s">
        <v>302</v>
      </c>
      <c r="I736" t="s">
        <v>303</v>
      </c>
      <c r="J736" t="s">
        <v>539</v>
      </c>
    </row>
    <row r="737" spans="1:11">
      <c r="A737" t="s">
        <v>1087</v>
      </c>
      <c r="B737" t="b">
        <v>0</v>
      </c>
      <c r="H737" t="s">
        <v>302</v>
      </c>
      <c r="I737" t="s">
        <v>303</v>
      </c>
      <c r="J737" t="s">
        <v>539</v>
      </c>
    </row>
    <row r="738" spans="1:11">
      <c r="A738" t="s">
        <v>1088</v>
      </c>
      <c r="B738" t="b">
        <v>0</v>
      </c>
      <c r="H738" t="s">
        <v>302</v>
      </c>
      <c r="I738" t="s">
        <v>303</v>
      </c>
      <c r="J738" t="s">
        <v>539</v>
      </c>
    </row>
    <row r="739" spans="1:11">
      <c r="A739" t="s">
        <v>1089</v>
      </c>
      <c r="B739" t="b">
        <v>0</v>
      </c>
      <c r="C739" t="s">
        <v>301</v>
      </c>
      <c r="D739" t="s">
        <v>322</v>
      </c>
      <c r="E739" t="s">
        <v>323</v>
      </c>
      <c r="H739" t="s">
        <v>302</v>
      </c>
      <c r="I739" t="s">
        <v>303</v>
      </c>
      <c r="J739" t="s">
        <v>539</v>
      </c>
    </row>
    <row r="740" spans="1:11">
      <c r="A740" t="s">
        <v>1090</v>
      </c>
      <c r="B740" t="b">
        <v>0</v>
      </c>
      <c r="C740" t="s">
        <v>340</v>
      </c>
      <c r="D740" t="s">
        <v>340</v>
      </c>
      <c r="E740" t="s">
        <v>340</v>
      </c>
      <c r="H740" t="s">
        <v>302</v>
      </c>
      <c r="I740" t="s">
        <v>303</v>
      </c>
      <c r="J740" t="s">
        <v>539</v>
      </c>
    </row>
    <row r="741" spans="1:11">
      <c r="A741" t="s">
        <v>1091</v>
      </c>
      <c r="B741" t="b">
        <v>0</v>
      </c>
      <c r="C741" t="s">
        <v>301</v>
      </c>
      <c r="D741" t="s">
        <v>322</v>
      </c>
      <c r="E741" t="s">
        <v>323</v>
      </c>
      <c r="H741" t="s">
        <v>302</v>
      </c>
      <c r="I741" t="s">
        <v>303</v>
      </c>
      <c r="J741" t="s">
        <v>539</v>
      </c>
    </row>
    <row r="742" spans="1:11">
      <c r="A742" t="s">
        <v>1092</v>
      </c>
      <c r="B742" t="b">
        <v>0</v>
      </c>
      <c r="C742" t="s">
        <v>301</v>
      </c>
      <c r="D742" t="s">
        <v>322</v>
      </c>
      <c r="E742" t="s">
        <v>323</v>
      </c>
      <c r="H742" t="s">
        <v>302</v>
      </c>
      <c r="I742" t="s">
        <v>303</v>
      </c>
      <c r="J742" t="s">
        <v>539</v>
      </c>
    </row>
    <row r="743" spans="1:11">
      <c r="A743" t="s">
        <v>1093</v>
      </c>
      <c r="B743" t="b">
        <v>0</v>
      </c>
      <c r="C743" t="s">
        <v>301</v>
      </c>
      <c r="D743" t="s">
        <v>322</v>
      </c>
      <c r="E743" t="s">
        <v>323</v>
      </c>
      <c r="H743" t="s">
        <v>302</v>
      </c>
      <c r="I743" t="s">
        <v>303</v>
      </c>
      <c r="J743" t="s">
        <v>539</v>
      </c>
    </row>
    <row r="744" spans="1:11">
      <c r="A744" t="s">
        <v>1094</v>
      </c>
      <c r="B744" t="b">
        <v>0</v>
      </c>
      <c r="C744" t="s">
        <v>301</v>
      </c>
      <c r="D744" t="s">
        <v>322</v>
      </c>
      <c r="E744" t="s">
        <v>323</v>
      </c>
      <c r="H744" t="s">
        <v>302</v>
      </c>
      <c r="I744" t="s">
        <v>303</v>
      </c>
      <c r="J744" t="s">
        <v>539</v>
      </c>
    </row>
    <row r="745" spans="1:11">
      <c r="A745" t="s">
        <v>1095</v>
      </c>
      <c r="B745" t="b">
        <v>0</v>
      </c>
      <c r="C745" t="s">
        <v>301</v>
      </c>
      <c r="D745" t="s">
        <v>322</v>
      </c>
      <c r="E745" t="s">
        <v>323</v>
      </c>
      <c r="H745" t="s">
        <v>302</v>
      </c>
      <c r="I745" t="s">
        <v>303</v>
      </c>
      <c r="J745" t="s">
        <v>539</v>
      </c>
    </row>
    <row r="746" spans="1:11">
      <c r="A746" t="s">
        <v>1096</v>
      </c>
      <c r="B746" t="b">
        <v>0</v>
      </c>
      <c r="C746" t="s">
        <v>301</v>
      </c>
      <c r="D746" t="s">
        <v>322</v>
      </c>
      <c r="E746" t="s">
        <v>323</v>
      </c>
      <c r="H746" t="s">
        <v>302</v>
      </c>
      <c r="I746" t="s">
        <v>303</v>
      </c>
      <c r="J746" t="s">
        <v>539</v>
      </c>
    </row>
    <row r="747" spans="1:11">
      <c r="A747" t="s">
        <v>1097</v>
      </c>
      <c r="B747" t="b">
        <v>0</v>
      </c>
      <c r="C747" t="s">
        <v>301</v>
      </c>
      <c r="D747" t="s">
        <v>322</v>
      </c>
      <c r="E747" t="s">
        <v>323</v>
      </c>
      <c r="H747" t="s">
        <v>302</v>
      </c>
      <c r="I747" t="s">
        <v>303</v>
      </c>
      <c r="J747" t="s">
        <v>539</v>
      </c>
    </row>
    <row r="748" spans="1:11">
      <c r="A748" t="s">
        <v>1098</v>
      </c>
      <c r="B748" t="b">
        <v>0</v>
      </c>
      <c r="C748" t="s">
        <v>340</v>
      </c>
      <c r="D748" t="s">
        <v>322</v>
      </c>
      <c r="E748" t="s">
        <v>323</v>
      </c>
      <c r="H748" t="s">
        <v>302</v>
      </c>
      <c r="I748" t="s">
        <v>303</v>
      </c>
      <c r="J748" t="s">
        <v>539</v>
      </c>
    </row>
    <row r="749" spans="1:11">
      <c r="A749" t="s">
        <v>1099</v>
      </c>
      <c r="B749" t="b">
        <v>0</v>
      </c>
      <c r="C749" t="s">
        <v>330</v>
      </c>
      <c r="D749" t="s">
        <v>322</v>
      </c>
      <c r="E749" t="s">
        <v>323</v>
      </c>
      <c r="H749" t="s">
        <v>302</v>
      </c>
      <c r="I749" t="s">
        <v>303</v>
      </c>
      <c r="J749" t="s">
        <v>539</v>
      </c>
    </row>
    <row r="750" spans="1:11">
      <c r="A750" t="s">
        <v>1100</v>
      </c>
      <c r="B750" t="b">
        <v>0</v>
      </c>
      <c r="H750" t="s">
        <v>302</v>
      </c>
      <c r="I750" t="s">
        <v>303</v>
      </c>
      <c r="J750" t="s">
        <v>539</v>
      </c>
    </row>
    <row r="751" spans="1:11">
      <c r="A751" t="s">
        <v>1101</v>
      </c>
      <c r="B751" t="b">
        <v>0</v>
      </c>
      <c r="C751" t="s">
        <v>301</v>
      </c>
      <c r="D751" t="s">
        <v>301</v>
      </c>
      <c r="E751" t="s">
        <v>301</v>
      </c>
      <c r="H751" t="s">
        <v>302</v>
      </c>
      <c r="I751" t="s">
        <v>303</v>
      </c>
      <c r="J751" t="s">
        <v>539</v>
      </c>
    </row>
    <row r="752" spans="1:11">
      <c r="A752" t="s">
        <v>1102</v>
      </c>
      <c r="B752" t="b">
        <v>0</v>
      </c>
      <c r="C752" t="s">
        <v>340</v>
      </c>
      <c r="D752" t="s">
        <v>340</v>
      </c>
      <c r="E752" t="s">
        <v>340</v>
      </c>
      <c r="H752" t="s">
        <v>340</v>
      </c>
      <c r="I752" t="s">
        <v>303</v>
      </c>
      <c r="J752" t="s">
        <v>1103</v>
      </c>
      <c r="K752">
        <v>3000</v>
      </c>
    </row>
    <row r="753" spans="1:11">
      <c r="A753" t="s">
        <v>1104</v>
      </c>
      <c r="B753" t="b">
        <v>0</v>
      </c>
      <c r="C753" t="s">
        <v>301</v>
      </c>
      <c r="D753" t="s">
        <v>301</v>
      </c>
      <c r="E753" t="s">
        <v>301</v>
      </c>
      <c r="H753" t="s">
        <v>301</v>
      </c>
      <c r="I753" t="s">
        <v>303</v>
      </c>
      <c r="J753" t="s">
        <v>1103</v>
      </c>
      <c r="K753">
        <v>3000</v>
      </c>
    </row>
    <row r="754" spans="1:11">
      <c r="A754" t="s">
        <v>1105</v>
      </c>
      <c r="B754" t="b">
        <v>0</v>
      </c>
      <c r="C754" t="s">
        <v>301</v>
      </c>
      <c r="D754" t="s">
        <v>389</v>
      </c>
      <c r="E754" t="s">
        <v>301</v>
      </c>
      <c r="H754" t="s">
        <v>301</v>
      </c>
      <c r="I754" t="s">
        <v>303</v>
      </c>
      <c r="J754" t="s">
        <v>1103</v>
      </c>
      <c r="K754">
        <v>3000</v>
      </c>
    </row>
    <row r="755" spans="1:11">
      <c r="A755" t="s">
        <v>1106</v>
      </c>
      <c r="B755" t="b">
        <v>0</v>
      </c>
      <c r="C755" t="s">
        <v>301</v>
      </c>
      <c r="D755" t="s">
        <v>301</v>
      </c>
      <c r="E755" t="s">
        <v>301</v>
      </c>
      <c r="H755" t="s">
        <v>301</v>
      </c>
      <c r="I755" t="s">
        <v>303</v>
      </c>
      <c r="J755" t="s">
        <v>1103</v>
      </c>
      <c r="K755">
        <v>3000</v>
      </c>
    </row>
    <row r="756" spans="1:11">
      <c r="A756" t="s">
        <v>1107</v>
      </c>
      <c r="B756" t="b">
        <v>0</v>
      </c>
      <c r="C756" t="s">
        <v>301</v>
      </c>
      <c r="D756" t="s">
        <v>322</v>
      </c>
      <c r="E756" t="s">
        <v>323</v>
      </c>
      <c r="H756" t="s">
        <v>301</v>
      </c>
      <c r="I756" t="s">
        <v>303</v>
      </c>
      <c r="J756" t="s">
        <v>1103</v>
      </c>
      <c r="K756">
        <v>3000</v>
      </c>
    </row>
    <row r="757" spans="1:11">
      <c r="A757" t="s">
        <v>1108</v>
      </c>
      <c r="B757" t="b">
        <v>0</v>
      </c>
      <c r="C757" t="s">
        <v>353</v>
      </c>
      <c r="D757" t="s">
        <v>354</v>
      </c>
      <c r="E757" t="s">
        <v>353</v>
      </c>
      <c r="G757" t="s">
        <v>927</v>
      </c>
      <c r="H757" t="s">
        <v>301</v>
      </c>
      <c r="I757" t="s">
        <v>303</v>
      </c>
      <c r="J757" t="s">
        <v>1103</v>
      </c>
      <c r="K757">
        <v>3000</v>
      </c>
    </row>
    <row r="758" spans="1:11">
      <c r="A758" t="s">
        <v>1109</v>
      </c>
      <c r="B758" t="b">
        <v>0</v>
      </c>
      <c r="D758" t="s">
        <v>322</v>
      </c>
      <c r="E758" t="s">
        <v>323</v>
      </c>
      <c r="H758" t="s">
        <v>301</v>
      </c>
      <c r="I758" t="s">
        <v>303</v>
      </c>
      <c r="J758" t="s">
        <v>1103</v>
      </c>
      <c r="K758">
        <v>3000</v>
      </c>
    </row>
    <row r="759" spans="1:11">
      <c r="A759" t="s">
        <v>1110</v>
      </c>
      <c r="B759" t="b">
        <v>0</v>
      </c>
      <c r="C759" t="s">
        <v>301</v>
      </c>
      <c r="D759" t="s">
        <v>322</v>
      </c>
      <c r="E759" t="s">
        <v>323</v>
      </c>
      <c r="F759">
        <v>77</v>
      </c>
      <c r="H759" t="s">
        <v>301</v>
      </c>
      <c r="I759" t="s">
        <v>303</v>
      </c>
      <c r="J759" t="s">
        <v>1103</v>
      </c>
      <c r="K759">
        <v>3000</v>
      </c>
    </row>
    <row r="760" spans="1:11">
      <c r="A760" t="s">
        <v>1111</v>
      </c>
      <c r="B760" t="b">
        <v>0</v>
      </c>
      <c r="C760" t="s">
        <v>376</v>
      </c>
      <c r="D760" t="s">
        <v>322</v>
      </c>
      <c r="E760" t="s">
        <v>323</v>
      </c>
      <c r="H760" t="s">
        <v>301</v>
      </c>
      <c r="I760" t="s">
        <v>303</v>
      </c>
      <c r="J760" t="s">
        <v>1103</v>
      </c>
      <c r="K760">
        <v>3000</v>
      </c>
    </row>
    <row r="761" spans="1:11">
      <c r="A761" t="s">
        <v>1112</v>
      </c>
      <c r="B761" t="b">
        <v>0</v>
      </c>
      <c r="D761" t="s">
        <v>322</v>
      </c>
      <c r="E761" t="s">
        <v>323</v>
      </c>
      <c r="H761" t="s">
        <v>301</v>
      </c>
      <c r="I761" t="s">
        <v>303</v>
      </c>
      <c r="J761" t="s">
        <v>1103</v>
      </c>
      <c r="K761">
        <v>3000</v>
      </c>
    </row>
    <row r="762" spans="1:11">
      <c r="A762" t="s">
        <v>1113</v>
      </c>
      <c r="B762" t="b">
        <v>0</v>
      </c>
      <c r="C762" t="s">
        <v>340</v>
      </c>
      <c r="D762" t="s">
        <v>322</v>
      </c>
      <c r="E762" t="s">
        <v>340</v>
      </c>
      <c r="H762" t="s">
        <v>340</v>
      </c>
      <c r="I762" t="s">
        <v>303</v>
      </c>
      <c r="J762" t="s">
        <v>1103</v>
      </c>
      <c r="K762">
        <v>3000</v>
      </c>
    </row>
    <row r="763" spans="1:11">
      <c r="A763" t="s">
        <v>1114</v>
      </c>
      <c r="B763" t="b">
        <v>0</v>
      </c>
      <c r="H763" t="s">
        <v>302</v>
      </c>
      <c r="I763" t="s">
        <v>303</v>
      </c>
      <c r="J763" t="s">
        <v>1103</v>
      </c>
      <c r="K763">
        <v>3000</v>
      </c>
    </row>
    <row r="764" spans="1:11">
      <c r="A764" t="s">
        <v>1115</v>
      </c>
      <c r="B764" t="b">
        <v>0</v>
      </c>
      <c r="C764" t="s">
        <v>301</v>
      </c>
      <c r="D764" t="s">
        <v>301</v>
      </c>
      <c r="E764" t="s">
        <v>301</v>
      </c>
      <c r="H764" t="s">
        <v>301</v>
      </c>
      <c r="I764" t="s">
        <v>303</v>
      </c>
      <c r="J764" t="s">
        <v>1103</v>
      </c>
      <c r="K764">
        <v>3000</v>
      </c>
    </row>
    <row r="765" spans="1:11">
      <c r="A765" t="s">
        <v>1116</v>
      </c>
      <c r="B765" t="b">
        <v>0</v>
      </c>
      <c r="H765" t="s">
        <v>302</v>
      </c>
      <c r="I765" t="s">
        <v>303</v>
      </c>
      <c r="J765" t="s">
        <v>539</v>
      </c>
    </row>
    <row r="766" spans="1:11">
      <c r="A766" t="s">
        <v>1117</v>
      </c>
      <c r="B766" t="b">
        <v>0</v>
      </c>
      <c r="H766" t="s">
        <v>302</v>
      </c>
      <c r="I766" t="s">
        <v>303</v>
      </c>
      <c r="J766" t="s">
        <v>539</v>
      </c>
    </row>
    <row r="767" spans="1:11">
      <c r="A767" t="s">
        <v>1118</v>
      </c>
      <c r="B767" t="b">
        <v>0</v>
      </c>
      <c r="H767" t="s">
        <v>302</v>
      </c>
      <c r="I767" t="s">
        <v>303</v>
      </c>
      <c r="J767" t="s">
        <v>539</v>
      </c>
    </row>
    <row r="768" spans="1:11">
      <c r="A768" t="s">
        <v>1119</v>
      </c>
      <c r="B768" t="b">
        <v>0</v>
      </c>
      <c r="H768" t="s">
        <v>302</v>
      </c>
      <c r="I768" t="s">
        <v>303</v>
      </c>
      <c r="J768" t="s">
        <v>539</v>
      </c>
    </row>
    <row r="769" spans="1:11">
      <c r="A769" t="s">
        <v>1120</v>
      </c>
      <c r="B769" t="b">
        <v>0</v>
      </c>
      <c r="H769" t="s">
        <v>302</v>
      </c>
      <c r="I769" t="s">
        <v>303</v>
      </c>
      <c r="J769" t="s">
        <v>539</v>
      </c>
    </row>
    <row r="770" spans="1:11">
      <c r="A770" t="s">
        <v>1121</v>
      </c>
      <c r="B770" t="b">
        <v>0</v>
      </c>
      <c r="H770" t="s">
        <v>302</v>
      </c>
      <c r="I770" t="s">
        <v>303</v>
      </c>
      <c r="J770" t="s">
        <v>539</v>
      </c>
    </row>
    <row r="771" spans="1:11">
      <c r="A771" t="s">
        <v>1122</v>
      </c>
      <c r="B771" t="b">
        <v>0</v>
      </c>
      <c r="H771" t="s">
        <v>302</v>
      </c>
      <c r="I771" t="s">
        <v>303</v>
      </c>
      <c r="J771" t="s">
        <v>539</v>
      </c>
    </row>
    <row r="772" spans="1:11">
      <c r="A772" t="s">
        <v>1123</v>
      </c>
      <c r="B772" t="b">
        <v>0</v>
      </c>
      <c r="H772" t="s">
        <v>302</v>
      </c>
      <c r="I772" t="s">
        <v>303</v>
      </c>
      <c r="J772" t="s">
        <v>539</v>
      </c>
    </row>
    <row r="773" spans="1:11">
      <c r="A773" t="s">
        <v>1124</v>
      </c>
      <c r="B773" t="b">
        <v>0</v>
      </c>
      <c r="H773" t="s">
        <v>302</v>
      </c>
      <c r="I773" t="s">
        <v>303</v>
      </c>
      <c r="J773" t="s">
        <v>539</v>
      </c>
    </row>
    <row r="774" spans="1:11">
      <c r="A774" t="s">
        <v>1125</v>
      </c>
      <c r="B774" t="b">
        <v>0</v>
      </c>
      <c r="C774" t="s">
        <v>340</v>
      </c>
      <c r="D774" t="s">
        <v>340</v>
      </c>
      <c r="E774" t="s">
        <v>340</v>
      </c>
      <c r="H774" t="s">
        <v>302</v>
      </c>
      <c r="I774" t="s">
        <v>303</v>
      </c>
      <c r="J774" t="s">
        <v>610</v>
      </c>
      <c r="K774">
        <v>3000</v>
      </c>
    </row>
    <row r="775" spans="1:11">
      <c r="A775" t="s">
        <v>1126</v>
      </c>
      <c r="B775" t="b">
        <v>0</v>
      </c>
      <c r="C775" t="s">
        <v>340</v>
      </c>
      <c r="D775" t="s">
        <v>340</v>
      </c>
      <c r="E775" t="s">
        <v>340</v>
      </c>
      <c r="H775" t="s">
        <v>302</v>
      </c>
      <c r="I775" t="s">
        <v>303</v>
      </c>
      <c r="J775" t="s">
        <v>610</v>
      </c>
      <c r="K775">
        <v>3000</v>
      </c>
    </row>
    <row r="776" spans="1:11">
      <c r="A776" t="s">
        <v>1127</v>
      </c>
      <c r="B776" t="b">
        <v>0</v>
      </c>
      <c r="C776" t="s">
        <v>330</v>
      </c>
      <c r="D776" t="s">
        <v>322</v>
      </c>
      <c r="E776" t="s">
        <v>330</v>
      </c>
      <c r="H776" t="s">
        <v>302</v>
      </c>
      <c r="I776" t="s">
        <v>303</v>
      </c>
      <c r="J776" t="s">
        <v>610</v>
      </c>
      <c r="K776">
        <v>3000</v>
      </c>
    </row>
    <row r="777" spans="1:11">
      <c r="A777" t="s">
        <v>1128</v>
      </c>
      <c r="B777" t="b">
        <v>0</v>
      </c>
      <c r="C777" t="s">
        <v>301</v>
      </c>
      <c r="D777" t="s">
        <v>322</v>
      </c>
      <c r="E777" t="s">
        <v>323</v>
      </c>
      <c r="H777" t="s">
        <v>302</v>
      </c>
      <c r="I777" t="s">
        <v>303</v>
      </c>
      <c r="J777" t="s">
        <v>610</v>
      </c>
      <c r="K777">
        <v>3000</v>
      </c>
    </row>
    <row r="778" spans="1:11">
      <c r="A778" t="s">
        <v>1129</v>
      </c>
      <c r="B778" t="b">
        <v>0</v>
      </c>
      <c r="C778" t="s">
        <v>301</v>
      </c>
      <c r="D778" t="s">
        <v>322</v>
      </c>
      <c r="E778" t="s">
        <v>323</v>
      </c>
      <c r="H778" t="s">
        <v>302</v>
      </c>
      <c r="I778" t="s">
        <v>303</v>
      </c>
      <c r="J778" t="s">
        <v>610</v>
      </c>
      <c r="K778">
        <v>3000</v>
      </c>
    </row>
    <row r="779" spans="1:11">
      <c r="A779" t="s">
        <v>1130</v>
      </c>
      <c r="B779" t="b">
        <v>0</v>
      </c>
      <c r="C779" t="s">
        <v>301</v>
      </c>
      <c r="D779" t="s">
        <v>301</v>
      </c>
      <c r="E779" t="s">
        <v>301</v>
      </c>
      <c r="H779" t="s">
        <v>302</v>
      </c>
      <c r="I779" t="s">
        <v>303</v>
      </c>
      <c r="J779" t="s">
        <v>610</v>
      </c>
      <c r="K779">
        <v>3000</v>
      </c>
    </row>
    <row r="780" spans="1:11">
      <c r="A780" t="s">
        <v>1131</v>
      </c>
      <c r="B780" t="b">
        <v>0</v>
      </c>
      <c r="C780" t="s">
        <v>330</v>
      </c>
      <c r="D780" t="s">
        <v>322</v>
      </c>
      <c r="E780" t="s">
        <v>330</v>
      </c>
      <c r="H780" t="s">
        <v>302</v>
      </c>
      <c r="I780" t="s">
        <v>303</v>
      </c>
      <c r="J780" t="s">
        <v>610</v>
      </c>
      <c r="K780">
        <v>3000</v>
      </c>
    </row>
    <row r="781" spans="1:11">
      <c r="A781" t="s">
        <v>1132</v>
      </c>
      <c r="B781" t="b">
        <v>0</v>
      </c>
      <c r="C781" t="s">
        <v>340</v>
      </c>
      <c r="D781" t="s">
        <v>340</v>
      </c>
      <c r="E781" t="s">
        <v>340</v>
      </c>
      <c r="H781" t="s">
        <v>302</v>
      </c>
      <c r="I781" t="s">
        <v>303</v>
      </c>
      <c r="J781" t="s">
        <v>610</v>
      </c>
      <c r="K781">
        <v>3000</v>
      </c>
    </row>
    <row r="782" spans="1:11">
      <c r="A782" t="s">
        <v>1133</v>
      </c>
      <c r="B782" t="b">
        <v>0</v>
      </c>
      <c r="C782" t="s">
        <v>330</v>
      </c>
      <c r="D782" t="s">
        <v>322</v>
      </c>
      <c r="E782" t="s">
        <v>330</v>
      </c>
      <c r="H782" t="s">
        <v>302</v>
      </c>
      <c r="I782" t="s">
        <v>303</v>
      </c>
      <c r="J782" t="s">
        <v>610</v>
      </c>
      <c r="K782">
        <v>3000</v>
      </c>
    </row>
    <row r="783" spans="1:11">
      <c r="A783" t="s">
        <v>1134</v>
      </c>
      <c r="B783" t="b">
        <v>0</v>
      </c>
      <c r="C783" t="s">
        <v>340</v>
      </c>
      <c r="D783" t="s">
        <v>322</v>
      </c>
      <c r="E783" t="s">
        <v>340</v>
      </c>
      <c r="H783" t="s">
        <v>302</v>
      </c>
      <c r="I783" t="s">
        <v>303</v>
      </c>
      <c r="J783" t="s">
        <v>610</v>
      </c>
      <c r="K783">
        <v>3000</v>
      </c>
    </row>
    <row r="784" spans="1:11">
      <c r="A784" t="s">
        <v>1135</v>
      </c>
      <c r="B784" t="b">
        <v>0</v>
      </c>
      <c r="H784" t="s">
        <v>302</v>
      </c>
      <c r="I784" t="s">
        <v>303</v>
      </c>
      <c r="J784" t="s">
        <v>610</v>
      </c>
      <c r="K784">
        <v>3000</v>
      </c>
    </row>
    <row r="785" spans="1:11">
      <c r="A785" t="s">
        <v>1136</v>
      </c>
      <c r="B785" t="b">
        <v>0</v>
      </c>
      <c r="C785" t="s">
        <v>330</v>
      </c>
      <c r="D785" t="s">
        <v>322</v>
      </c>
      <c r="E785" t="s">
        <v>330</v>
      </c>
      <c r="H785" t="s">
        <v>302</v>
      </c>
      <c r="I785" t="s">
        <v>303</v>
      </c>
      <c r="J785" t="s">
        <v>610</v>
      </c>
      <c r="K785">
        <v>3000</v>
      </c>
    </row>
    <row r="786" spans="1:11">
      <c r="A786" t="s">
        <v>1137</v>
      </c>
      <c r="B786" t="b">
        <v>0</v>
      </c>
      <c r="C786" t="s">
        <v>301</v>
      </c>
      <c r="D786" t="s">
        <v>322</v>
      </c>
      <c r="E786" t="s">
        <v>323</v>
      </c>
      <c r="H786" t="s">
        <v>302</v>
      </c>
      <c r="I786" t="s">
        <v>303</v>
      </c>
      <c r="J786" t="s">
        <v>610</v>
      </c>
      <c r="K786">
        <v>3000</v>
      </c>
    </row>
    <row r="787" spans="1:11">
      <c r="A787" t="s">
        <v>1138</v>
      </c>
      <c r="B787" t="b">
        <v>0</v>
      </c>
      <c r="H787" t="s">
        <v>302</v>
      </c>
      <c r="I787" t="s">
        <v>303</v>
      </c>
      <c r="J787" t="s">
        <v>539</v>
      </c>
    </row>
    <row r="788" spans="1:11">
      <c r="A788" t="s">
        <v>1139</v>
      </c>
      <c r="B788" t="b">
        <v>0</v>
      </c>
      <c r="H788" t="s">
        <v>302</v>
      </c>
      <c r="I788" t="s">
        <v>303</v>
      </c>
      <c r="J788" t="s">
        <v>539</v>
      </c>
    </row>
    <row r="789" spans="1:11">
      <c r="A789" t="s">
        <v>1140</v>
      </c>
      <c r="B789" t="b">
        <v>0</v>
      </c>
      <c r="H789" t="s">
        <v>302</v>
      </c>
      <c r="I789" t="s">
        <v>303</v>
      </c>
      <c r="J789" t="s">
        <v>539</v>
      </c>
    </row>
    <row r="790" spans="1:11">
      <c r="A790" t="s">
        <v>1141</v>
      </c>
      <c r="B790" t="b">
        <v>0</v>
      </c>
      <c r="H790" t="s">
        <v>302</v>
      </c>
      <c r="I790" t="s">
        <v>303</v>
      </c>
      <c r="J790" t="s">
        <v>1057</v>
      </c>
      <c r="K790">
        <v>3000</v>
      </c>
    </row>
    <row r="791" spans="1:11">
      <c r="A791" t="s">
        <v>1142</v>
      </c>
      <c r="B791" t="b">
        <v>0</v>
      </c>
      <c r="H791" t="s">
        <v>302</v>
      </c>
      <c r="I791" t="s">
        <v>303</v>
      </c>
      <c r="J791" t="s">
        <v>1057</v>
      </c>
      <c r="K791">
        <v>3000</v>
      </c>
    </row>
    <row r="792" spans="1:11">
      <c r="A792" t="s">
        <v>1143</v>
      </c>
      <c r="B792" t="b">
        <v>0</v>
      </c>
      <c r="C792" t="s">
        <v>376</v>
      </c>
      <c r="D792" t="s">
        <v>322</v>
      </c>
      <c r="H792" t="s">
        <v>302</v>
      </c>
      <c r="I792" t="s">
        <v>303</v>
      </c>
      <c r="J792" t="s">
        <v>1057</v>
      </c>
      <c r="K792">
        <v>3000</v>
      </c>
    </row>
    <row r="793" spans="1:11">
      <c r="A793" t="s">
        <v>1144</v>
      </c>
      <c r="B793" t="b">
        <v>0</v>
      </c>
      <c r="H793" t="s">
        <v>302</v>
      </c>
      <c r="I793" t="s">
        <v>303</v>
      </c>
      <c r="J793" t="s">
        <v>1057</v>
      </c>
      <c r="K793">
        <v>3000</v>
      </c>
    </row>
    <row r="794" spans="1:11">
      <c r="A794" t="s">
        <v>1145</v>
      </c>
      <c r="B794" t="b">
        <v>0</v>
      </c>
      <c r="H794" t="s">
        <v>302</v>
      </c>
      <c r="I794" t="s">
        <v>303</v>
      </c>
      <c r="J794" t="s">
        <v>1057</v>
      </c>
      <c r="K794">
        <v>3000</v>
      </c>
    </row>
    <row r="795" spans="1:11">
      <c r="A795" t="s">
        <v>1146</v>
      </c>
      <c r="B795" t="b">
        <v>0</v>
      </c>
      <c r="H795" t="s">
        <v>302</v>
      </c>
      <c r="I795" t="s">
        <v>303</v>
      </c>
      <c r="J795" t="s">
        <v>1057</v>
      </c>
      <c r="K795">
        <v>3000</v>
      </c>
    </row>
    <row r="796" spans="1:11">
      <c r="A796" t="s">
        <v>1147</v>
      </c>
      <c r="B796" t="b">
        <v>0</v>
      </c>
      <c r="H796" t="s">
        <v>302</v>
      </c>
      <c r="I796" t="s">
        <v>303</v>
      </c>
      <c r="J796" t="s">
        <v>1057</v>
      </c>
      <c r="K796">
        <v>3000</v>
      </c>
    </row>
    <row r="797" spans="1:11">
      <c r="A797" t="s">
        <v>1148</v>
      </c>
      <c r="B797" t="b">
        <v>0</v>
      </c>
      <c r="H797" t="s">
        <v>302</v>
      </c>
      <c r="I797" t="s">
        <v>303</v>
      </c>
      <c r="J797" t="s">
        <v>1057</v>
      </c>
      <c r="K797">
        <v>3000</v>
      </c>
    </row>
    <row r="798" spans="1:11">
      <c r="A798" t="s">
        <v>1149</v>
      </c>
      <c r="B798" t="b">
        <v>0</v>
      </c>
      <c r="H798" t="s">
        <v>302</v>
      </c>
      <c r="I798" t="s">
        <v>303</v>
      </c>
      <c r="J798" t="s">
        <v>1057</v>
      </c>
      <c r="K798">
        <v>3000</v>
      </c>
    </row>
    <row r="799" spans="1:11">
      <c r="A799" t="s">
        <v>1150</v>
      </c>
      <c r="B799" t="b">
        <v>0</v>
      </c>
      <c r="H799" t="s">
        <v>302</v>
      </c>
      <c r="I799" t="s">
        <v>303</v>
      </c>
      <c r="J799" t="s">
        <v>1057</v>
      </c>
      <c r="K799">
        <v>3000</v>
      </c>
    </row>
    <row r="800" spans="1:11">
      <c r="A800" t="s">
        <v>1151</v>
      </c>
      <c r="B800" t="b">
        <v>0</v>
      </c>
      <c r="H800" t="s">
        <v>302</v>
      </c>
      <c r="I800" t="s">
        <v>303</v>
      </c>
      <c r="J800" t="s">
        <v>1057</v>
      </c>
      <c r="K800">
        <v>3000</v>
      </c>
    </row>
    <row r="801" spans="1:11">
      <c r="A801" t="s">
        <v>1152</v>
      </c>
      <c r="B801" t="b">
        <v>0</v>
      </c>
      <c r="H801" t="s">
        <v>302</v>
      </c>
      <c r="I801" t="s">
        <v>303</v>
      </c>
      <c r="J801" t="s">
        <v>1057</v>
      </c>
      <c r="K801">
        <v>3000</v>
      </c>
    </row>
    <row r="802" spans="1:11">
      <c r="A802" t="s">
        <v>1153</v>
      </c>
      <c r="B802" t="b">
        <v>0</v>
      </c>
      <c r="H802" t="s">
        <v>302</v>
      </c>
      <c r="I802" t="s">
        <v>303</v>
      </c>
      <c r="J802" t="s">
        <v>1057</v>
      </c>
      <c r="K802">
        <v>3000</v>
      </c>
    </row>
    <row r="803" spans="1:11">
      <c r="A803" t="s">
        <v>1154</v>
      </c>
      <c r="B803" t="b">
        <v>0</v>
      </c>
      <c r="H803" t="s">
        <v>302</v>
      </c>
      <c r="I803" t="s">
        <v>303</v>
      </c>
      <c r="J803" t="s">
        <v>1057</v>
      </c>
      <c r="K803">
        <v>3000</v>
      </c>
    </row>
    <row r="804" spans="1:11">
      <c r="A804" t="s">
        <v>1155</v>
      </c>
      <c r="B804" t="b">
        <v>0</v>
      </c>
      <c r="H804" t="s">
        <v>302</v>
      </c>
      <c r="I804" t="s">
        <v>303</v>
      </c>
      <c r="J804" t="s">
        <v>1057</v>
      </c>
      <c r="K804">
        <v>3000</v>
      </c>
    </row>
    <row r="805" spans="1:11">
      <c r="A805" t="s">
        <v>1156</v>
      </c>
      <c r="B805" t="b">
        <v>0</v>
      </c>
      <c r="H805" t="s">
        <v>302</v>
      </c>
      <c r="I805" t="s">
        <v>303</v>
      </c>
      <c r="J805" t="s">
        <v>1057</v>
      </c>
      <c r="K805">
        <v>3000</v>
      </c>
    </row>
    <row r="806" spans="1:11">
      <c r="A806" t="s">
        <v>1157</v>
      </c>
      <c r="B806" t="b">
        <v>0</v>
      </c>
      <c r="H806" t="s">
        <v>302</v>
      </c>
      <c r="I806" t="s">
        <v>303</v>
      </c>
      <c r="J806" t="s">
        <v>1057</v>
      </c>
      <c r="K806">
        <v>3000</v>
      </c>
    </row>
    <row r="807" spans="1:11">
      <c r="A807" t="s">
        <v>1158</v>
      </c>
      <c r="B807" t="b">
        <v>0</v>
      </c>
      <c r="H807" t="s">
        <v>302</v>
      </c>
      <c r="I807" t="s">
        <v>303</v>
      </c>
      <c r="J807" t="s">
        <v>1057</v>
      </c>
      <c r="K807">
        <v>3000</v>
      </c>
    </row>
    <row r="808" spans="1:11">
      <c r="A808" t="s">
        <v>1159</v>
      </c>
      <c r="B808" t="b">
        <v>0</v>
      </c>
      <c r="H808" t="s">
        <v>302</v>
      </c>
      <c r="I808" t="s">
        <v>303</v>
      </c>
      <c r="J808" t="s">
        <v>1057</v>
      </c>
      <c r="K808">
        <v>3000</v>
      </c>
    </row>
    <row r="809" spans="1:11">
      <c r="A809" t="s">
        <v>1160</v>
      </c>
      <c r="B809" t="b">
        <v>0</v>
      </c>
      <c r="H809" t="s">
        <v>302</v>
      </c>
      <c r="I809" t="s">
        <v>303</v>
      </c>
      <c r="J809" t="s">
        <v>304</v>
      </c>
    </row>
    <row r="810" spans="1:11">
      <c r="A810" t="s">
        <v>1161</v>
      </c>
      <c r="B810" t="b">
        <v>0</v>
      </c>
      <c r="H810" t="s">
        <v>302</v>
      </c>
      <c r="I810" t="s">
        <v>303</v>
      </c>
      <c r="J810" t="s">
        <v>304</v>
      </c>
    </row>
    <row r="811" spans="1:11">
      <c r="A811" t="s">
        <v>1162</v>
      </c>
      <c r="B811" t="b">
        <v>0</v>
      </c>
      <c r="H811" t="s">
        <v>302</v>
      </c>
      <c r="I811" t="s">
        <v>303</v>
      </c>
      <c r="J811" t="s">
        <v>304</v>
      </c>
    </row>
    <row r="812" spans="1:11">
      <c r="A812" t="s">
        <v>1163</v>
      </c>
      <c r="B812" t="b">
        <v>0</v>
      </c>
      <c r="H812" t="s">
        <v>302</v>
      </c>
      <c r="I812" t="s">
        <v>303</v>
      </c>
      <c r="J812" t="s">
        <v>304</v>
      </c>
    </row>
    <row r="813" spans="1:11">
      <c r="A813" t="s">
        <v>1164</v>
      </c>
      <c r="B813" t="b">
        <v>0</v>
      </c>
      <c r="H813" t="s">
        <v>302</v>
      </c>
      <c r="I813" t="s">
        <v>303</v>
      </c>
      <c r="J813" t="s">
        <v>304</v>
      </c>
    </row>
    <row r="814" spans="1:11">
      <c r="A814" t="s">
        <v>1165</v>
      </c>
      <c r="B814" t="b">
        <v>0</v>
      </c>
      <c r="H814" t="s">
        <v>302</v>
      </c>
      <c r="I814" t="s">
        <v>303</v>
      </c>
      <c r="J814" t="s">
        <v>304</v>
      </c>
    </row>
    <row r="815" spans="1:11">
      <c r="A815" t="s">
        <v>1166</v>
      </c>
      <c r="B815" t="b">
        <v>0</v>
      </c>
      <c r="H815" t="s">
        <v>302</v>
      </c>
      <c r="I815" t="s">
        <v>303</v>
      </c>
      <c r="J815" t="s">
        <v>304</v>
      </c>
    </row>
    <row r="816" spans="1:11">
      <c r="A816" t="s">
        <v>1167</v>
      </c>
      <c r="B816" t="b">
        <v>0</v>
      </c>
      <c r="H816" t="s">
        <v>302</v>
      </c>
      <c r="I816" t="s">
        <v>303</v>
      </c>
      <c r="J816" t="s">
        <v>304</v>
      </c>
    </row>
    <row r="817" spans="1:11">
      <c r="A817" t="s">
        <v>1168</v>
      </c>
      <c r="B817" t="b">
        <v>0</v>
      </c>
      <c r="H817" t="s">
        <v>302</v>
      </c>
      <c r="I817" t="s">
        <v>303</v>
      </c>
      <c r="J817" t="s">
        <v>304</v>
      </c>
    </row>
    <row r="818" spans="1:11">
      <c r="A818" t="s">
        <v>1169</v>
      </c>
      <c r="B818" t="b">
        <v>0</v>
      </c>
      <c r="H818" t="s">
        <v>302</v>
      </c>
      <c r="I818" t="s">
        <v>303</v>
      </c>
      <c r="J818" t="s">
        <v>539</v>
      </c>
    </row>
    <row r="819" spans="1:11">
      <c r="A819" t="s">
        <v>1170</v>
      </c>
      <c r="B819" t="b">
        <v>0</v>
      </c>
      <c r="H819" t="s">
        <v>302</v>
      </c>
      <c r="I819" t="s">
        <v>303</v>
      </c>
      <c r="J819" t="s">
        <v>411</v>
      </c>
    </row>
    <row r="820" spans="1:11">
      <c r="A820" t="s">
        <v>1171</v>
      </c>
      <c r="B820" t="b">
        <v>0</v>
      </c>
      <c r="H820" t="s">
        <v>302</v>
      </c>
      <c r="I820" t="s">
        <v>303</v>
      </c>
      <c r="J820" t="s">
        <v>411</v>
      </c>
    </row>
    <row r="821" spans="1:11">
      <c r="A821" t="s">
        <v>1172</v>
      </c>
      <c r="B821" t="b">
        <v>0</v>
      </c>
      <c r="H821" t="s">
        <v>302</v>
      </c>
      <c r="I821" t="s">
        <v>303</v>
      </c>
      <c r="J821" t="s">
        <v>411</v>
      </c>
    </row>
    <row r="822" spans="1:11">
      <c r="A822" t="s">
        <v>1173</v>
      </c>
      <c r="B822" t="b">
        <v>0</v>
      </c>
      <c r="H822" t="s">
        <v>302</v>
      </c>
      <c r="I822" t="s">
        <v>303</v>
      </c>
      <c r="J822" t="s">
        <v>411</v>
      </c>
    </row>
    <row r="823" spans="1:11">
      <c r="A823" t="s">
        <v>1174</v>
      </c>
      <c r="B823" t="b">
        <v>0</v>
      </c>
      <c r="H823" t="s">
        <v>302</v>
      </c>
      <c r="I823" t="s">
        <v>303</v>
      </c>
      <c r="J823" t="s">
        <v>411</v>
      </c>
    </row>
    <row r="824" spans="1:11">
      <c r="A824" t="s">
        <v>1175</v>
      </c>
      <c r="B824" t="b">
        <v>0</v>
      </c>
      <c r="H824" t="s">
        <v>302</v>
      </c>
      <c r="I824" t="s">
        <v>303</v>
      </c>
      <c r="J824" t="s">
        <v>411</v>
      </c>
    </row>
    <row r="825" spans="1:11">
      <c r="A825" t="s">
        <v>1176</v>
      </c>
      <c r="B825" t="b">
        <v>0</v>
      </c>
      <c r="H825" t="s">
        <v>302</v>
      </c>
      <c r="I825" t="s">
        <v>303</v>
      </c>
      <c r="J825" t="s">
        <v>411</v>
      </c>
    </row>
    <row r="826" spans="1:11">
      <c r="A826" t="s">
        <v>1177</v>
      </c>
      <c r="B826" t="b">
        <v>0</v>
      </c>
      <c r="H826" t="s">
        <v>302</v>
      </c>
      <c r="I826" t="s">
        <v>303</v>
      </c>
      <c r="J826" t="s">
        <v>411</v>
      </c>
    </row>
    <row r="827" spans="1:11">
      <c r="A827" t="s">
        <v>1178</v>
      </c>
      <c r="B827" t="b">
        <v>0</v>
      </c>
      <c r="H827" t="s">
        <v>302</v>
      </c>
      <c r="I827" t="s">
        <v>303</v>
      </c>
      <c r="J827" t="s">
        <v>411</v>
      </c>
    </row>
    <row r="828" spans="1:11">
      <c r="A828" t="s">
        <v>1179</v>
      </c>
      <c r="B828" t="b">
        <v>0</v>
      </c>
      <c r="H828" t="s">
        <v>302</v>
      </c>
      <c r="I828" t="s">
        <v>303</v>
      </c>
      <c r="J828" t="s">
        <v>411</v>
      </c>
    </row>
    <row r="829" spans="1:11">
      <c r="A829" t="s">
        <v>1180</v>
      </c>
      <c r="B829" t="b">
        <v>0</v>
      </c>
      <c r="H829" t="s">
        <v>302</v>
      </c>
      <c r="I829" t="s">
        <v>303</v>
      </c>
      <c r="J829" t="s">
        <v>411</v>
      </c>
    </row>
    <row r="830" spans="1:11">
      <c r="A830" t="s">
        <v>1181</v>
      </c>
      <c r="B830" t="b">
        <v>0</v>
      </c>
      <c r="H830" t="s">
        <v>302</v>
      </c>
      <c r="I830" t="s">
        <v>303</v>
      </c>
      <c r="J830" t="s">
        <v>411</v>
      </c>
    </row>
    <row r="831" spans="1:11">
      <c r="A831" t="s">
        <v>1182</v>
      </c>
      <c r="B831" t="b">
        <v>0</v>
      </c>
      <c r="H831" t="s">
        <v>302</v>
      </c>
      <c r="I831" t="s">
        <v>303</v>
      </c>
      <c r="J831" t="s">
        <v>411</v>
      </c>
    </row>
    <row r="832" spans="1:11">
      <c r="A832" t="s">
        <v>1183</v>
      </c>
      <c r="B832" t="b">
        <v>0</v>
      </c>
      <c r="C832" t="s">
        <v>376</v>
      </c>
      <c r="D832" t="s">
        <v>322</v>
      </c>
      <c r="E832" t="s">
        <v>376</v>
      </c>
      <c r="H832" t="s">
        <v>340</v>
      </c>
      <c r="I832" t="s">
        <v>303</v>
      </c>
      <c r="J832" t="s">
        <v>1184</v>
      </c>
      <c r="K832">
        <v>3000</v>
      </c>
    </row>
    <row r="833" spans="1:11">
      <c r="A833" t="s">
        <v>1185</v>
      </c>
      <c r="B833" t="b">
        <v>0</v>
      </c>
      <c r="C833" t="s">
        <v>301</v>
      </c>
      <c r="D833" t="s">
        <v>389</v>
      </c>
      <c r="E833" t="s">
        <v>323</v>
      </c>
      <c r="F833" t="s">
        <v>338</v>
      </c>
      <c r="G833" t="s">
        <v>301</v>
      </c>
      <c r="H833" t="s">
        <v>301</v>
      </c>
      <c r="I833" t="s">
        <v>303</v>
      </c>
      <c r="J833" t="s">
        <v>1184</v>
      </c>
      <c r="K833">
        <v>3000</v>
      </c>
    </row>
    <row r="834" spans="1:11">
      <c r="A834" t="s">
        <v>1186</v>
      </c>
      <c r="B834" t="b">
        <v>0</v>
      </c>
      <c r="C834" t="s">
        <v>376</v>
      </c>
      <c r="D834" t="s">
        <v>322</v>
      </c>
      <c r="E834" t="s">
        <v>323</v>
      </c>
      <c r="H834" t="s">
        <v>301</v>
      </c>
      <c r="I834" t="s">
        <v>303</v>
      </c>
      <c r="J834" t="s">
        <v>1184</v>
      </c>
      <c r="K834">
        <v>3000</v>
      </c>
    </row>
    <row r="835" spans="1:11">
      <c r="A835" t="s">
        <v>1187</v>
      </c>
      <c r="B835" t="b">
        <v>0</v>
      </c>
      <c r="C835" t="s">
        <v>340</v>
      </c>
      <c r="D835" t="s">
        <v>340</v>
      </c>
      <c r="E835" t="s">
        <v>340</v>
      </c>
      <c r="H835" t="s">
        <v>340</v>
      </c>
      <c r="I835" t="s">
        <v>303</v>
      </c>
      <c r="J835" t="s">
        <v>1184</v>
      </c>
      <c r="K835">
        <v>3000</v>
      </c>
    </row>
    <row r="836" spans="1:11">
      <c r="A836" t="s">
        <v>1188</v>
      </c>
      <c r="B836" t="b">
        <v>0</v>
      </c>
      <c r="C836" t="s">
        <v>353</v>
      </c>
      <c r="D836" t="s">
        <v>354</v>
      </c>
      <c r="E836" t="s">
        <v>353</v>
      </c>
      <c r="H836" t="s">
        <v>301</v>
      </c>
      <c r="I836" t="s">
        <v>303</v>
      </c>
      <c r="J836" t="s">
        <v>1184</v>
      </c>
      <c r="K836">
        <v>3000</v>
      </c>
    </row>
    <row r="837" spans="1:11">
      <c r="A837" t="s">
        <v>1189</v>
      </c>
      <c r="B837" t="b">
        <v>0</v>
      </c>
      <c r="C837" t="s">
        <v>301</v>
      </c>
      <c r="D837" t="s">
        <v>301</v>
      </c>
      <c r="E837" t="s">
        <v>323</v>
      </c>
      <c r="H837" t="s">
        <v>301</v>
      </c>
      <c r="I837" t="s">
        <v>303</v>
      </c>
      <c r="J837" t="s">
        <v>1184</v>
      </c>
      <c r="K837">
        <v>3000</v>
      </c>
    </row>
    <row r="838" spans="1:11">
      <c r="A838" t="s">
        <v>1190</v>
      </c>
      <c r="B838" t="b">
        <v>0</v>
      </c>
      <c r="C838" t="s">
        <v>301</v>
      </c>
      <c r="D838" t="s">
        <v>301</v>
      </c>
      <c r="E838" t="s">
        <v>323</v>
      </c>
      <c r="H838" t="s">
        <v>301</v>
      </c>
      <c r="I838" t="s">
        <v>303</v>
      </c>
      <c r="J838" t="s">
        <v>1184</v>
      </c>
      <c r="K838">
        <v>3000</v>
      </c>
    </row>
    <row r="839" spans="1:11">
      <c r="A839" t="s">
        <v>1191</v>
      </c>
      <c r="B839" t="b">
        <v>0</v>
      </c>
      <c r="C839" t="s">
        <v>301</v>
      </c>
      <c r="D839" t="s">
        <v>301</v>
      </c>
      <c r="E839" t="s">
        <v>301</v>
      </c>
      <c r="F839" t="s">
        <v>338</v>
      </c>
      <c r="H839" t="s">
        <v>301</v>
      </c>
      <c r="I839" t="s">
        <v>303</v>
      </c>
      <c r="J839" t="s">
        <v>1184</v>
      </c>
      <c r="K839">
        <v>3000</v>
      </c>
    </row>
    <row r="840" spans="1:11">
      <c r="A840" t="s">
        <v>1192</v>
      </c>
      <c r="B840" t="b">
        <v>0</v>
      </c>
      <c r="C840" t="s">
        <v>376</v>
      </c>
      <c r="D840" t="s">
        <v>322</v>
      </c>
      <c r="E840" t="s">
        <v>376</v>
      </c>
      <c r="H840" t="s">
        <v>301</v>
      </c>
      <c r="I840" t="s">
        <v>303</v>
      </c>
      <c r="J840" t="s">
        <v>1184</v>
      </c>
      <c r="K840">
        <v>3000</v>
      </c>
    </row>
    <row r="841" spans="1:11">
      <c r="A841" t="s">
        <v>1193</v>
      </c>
      <c r="B841" t="b">
        <v>0</v>
      </c>
      <c r="C841" t="s">
        <v>376</v>
      </c>
      <c r="D841" t="s">
        <v>322</v>
      </c>
      <c r="E841" t="s">
        <v>376</v>
      </c>
      <c r="H841" t="s">
        <v>301</v>
      </c>
      <c r="I841" t="s">
        <v>303</v>
      </c>
      <c r="J841" t="s">
        <v>1184</v>
      </c>
      <c r="K841">
        <v>3000</v>
      </c>
    </row>
    <row r="842" spans="1:11">
      <c r="A842" t="s">
        <v>1194</v>
      </c>
      <c r="B842" t="b">
        <v>0</v>
      </c>
      <c r="H842" t="s">
        <v>302</v>
      </c>
      <c r="I842" t="s">
        <v>303</v>
      </c>
      <c r="J842" t="s">
        <v>1184</v>
      </c>
      <c r="K842">
        <v>3000</v>
      </c>
    </row>
    <row r="843" spans="1:11">
      <c r="A843" t="s">
        <v>1195</v>
      </c>
      <c r="B843" t="b">
        <v>0</v>
      </c>
      <c r="C843" t="s">
        <v>301</v>
      </c>
      <c r="D843" t="s">
        <v>322</v>
      </c>
      <c r="E843" t="s">
        <v>323</v>
      </c>
      <c r="H843" t="s">
        <v>301</v>
      </c>
      <c r="I843" t="s">
        <v>303</v>
      </c>
      <c r="J843" t="s">
        <v>1184</v>
      </c>
      <c r="K843">
        <v>3000</v>
      </c>
    </row>
    <row r="844" spans="1:11">
      <c r="A844" t="s">
        <v>1196</v>
      </c>
      <c r="B844" t="b">
        <v>0</v>
      </c>
      <c r="H844" t="s">
        <v>302</v>
      </c>
      <c r="I844" t="s">
        <v>303</v>
      </c>
      <c r="J844" t="s">
        <v>304</v>
      </c>
    </row>
    <row r="845" spans="1:11">
      <c r="A845" t="s">
        <v>1197</v>
      </c>
      <c r="B845" t="b">
        <v>0</v>
      </c>
      <c r="H845" t="s">
        <v>302</v>
      </c>
      <c r="I845" t="s">
        <v>303</v>
      </c>
      <c r="J845" t="s">
        <v>304</v>
      </c>
    </row>
    <row r="846" spans="1:11">
      <c r="A846" t="s">
        <v>1198</v>
      </c>
      <c r="B846" t="b">
        <v>0</v>
      </c>
      <c r="H846" t="s">
        <v>302</v>
      </c>
      <c r="I846" t="s">
        <v>303</v>
      </c>
      <c r="J846" t="s">
        <v>304</v>
      </c>
    </row>
    <row r="847" spans="1:11">
      <c r="A847" t="s">
        <v>1199</v>
      </c>
      <c r="B847" t="b">
        <v>0</v>
      </c>
      <c r="H847" t="s">
        <v>302</v>
      </c>
      <c r="I847" t="s">
        <v>303</v>
      </c>
      <c r="J847" t="s">
        <v>304</v>
      </c>
    </row>
    <row r="848" spans="1:11">
      <c r="A848" t="s">
        <v>1200</v>
      </c>
      <c r="B848" t="b">
        <v>0</v>
      </c>
      <c r="H848" t="s">
        <v>302</v>
      </c>
      <c r="I848" t="s">
        <v>303</v>
      </c>
      <c r="J848" t="s">
        <v>304</v>
      </c>
    </row>
    <row r="849" spans="1:11">
      <c r="A849" t="s">
        <v>1201</v>
      </c>
      <c r="B849" t="b">
        <v>0</v>
      </c>
      <c r="H849" t="s">
        <v>302</v>
      </c>
      <c r="I849" t="s">
        <v>303</v>
      </c>
      <c r="J849" t="s">
        <v>304</v>
      </c>
    </row>
    <row r="850" spans="1:11">
      <c r="A850" t="s">
        <v>1202</v>
      </c>
      <c r="B850" t="b">
        <v>0</v>
      </c>
      <c r="H850" t="s">
        <v>302</v>
      </c>
      <c r="I850" t="s">
        <v>303</v>
      </c>
      <c r="J850" t="s">
        <v>304</v>
      </c>
    </row>
    <row r="851" spans="1:11">
      <c r="A851" t="s">
        <v>1203</v>
      </c>
      <c r="B851" t="b">
        <v>0</v>
      </c>
      <c r="H851" t="s">
        <v>302</v>
      </c>
      <c r="I851" t="s">
        <v>303</v>
      </c>
      <c r="J851" t="s">
        <v>304</v>
      </c>
    </row>
    <row r="852" spans="1:11">
      <c r="A852" t="s">
        <v>1204</v>
      </c>
      <c r="B852" t="b">
        <v>0</v>
      </c>
      <c r="H852" t="s">
        <v>302</v>
      </c>
      <c r="I852" t="s">
        <v>303</v>
      </c>
      <c r="J852" t="s">
        <v>304</v>
      </c>
    </row>
    <row r="853" spans="1:11">
      <c r="A853" t="s">
        <v>1205</v>
      </c>
      <c r="B853" t="b">
        <v>0</v>
      </c>
      <c r="C853" t="s">
        <v>301</v>
      </c>
      <c r="E853" t="s">
        <v>301</v>
      </c>
      <c r="H853" t="s">
        <v>301</v>
      </c>
      <c r="I853" t="s">
        <v>303</v>
      </c>
      <c r="J853" t="s">
        <v>916</v>
      </c>
      <c r="K853" t="s">
        <v>2117</v>
      </c>
    </row>
    <row r="854" spans="1:11">
      <c r="A854" t="s">
        <v>1206</v>
      </c>
      <c r="B854" t="b">
        <v>0</v>
      </c>
      <c r="C854" t="s">
        <v>340</v>
      </c>
      <c r="D854" t="s">
        <v>340</v>
      </c>
      <c r="E854" t="s">
        <v>340</v>
      </c>
      <c r="H854" t="s">
        <v>340</v>
      </c>
      <c r="I854" t="s">
        <v>303</v>
      </c>
      <c r="J854" t="s">
        <v>916</v>
      </c>
      <c r="K854" t="s">
        <v>2117</v>
      </c>
    </row>
    <row r="855" spans="1:11">
      <c r="A855" t="s">
        <v>1207</v>
      </c>
      <c r="B855" t="b">
        <v>0</v>
      </c>
      <c r="C855" t="s">
        <v>340</v>
      </c>
      <c r="D855" t="s">
        <v>322</v>
      </c>
      <c r="E855" t="s">
        <v>323</v>
      </c>
      <c r="H855" t="s">
        <v>301</v>
      </c>
      <c r="I855" t="s">
        <v>303</v>
      </c>
      <c r="J855" t="s">
        <v>916</v>
      </c>
      <c r="K855" t="s">
        <v>2117</v>
      </c>
    </row>
    <row r="856" spans="1:11">
      <c r="A856" t="s">
        <v>1208</v>
      </c>
      <c r="B856" t="b">
        <v>0</v>
      </c>
      <c r="C856" t="s">
        <v>301</v>
      </c>
      <c r="E856" t="s">
        <v>323</v>
      </c>
      <c r="H856" t="s">
        <v>301</v>
      </c>
      <c r="I856" t="s">
        <v>303</v>
      </c>
      <c r="J856" t="s">
        <v>916</v>
      </c>
      <c r="K856" t="s">
        <v>2117</v>
      </c>
    </row>
    <row r="857" spans="1:11">
      <c r="A857" t="s">
        <v>1209</v>
      </c>
      <c r="B857" t="b">
        <v>0</v>
      </c>
      <c r="C857" t="s">
        <v>301</v>
      </c>
      <c r="E857" t="s">
        <v>323</v>
      </c>
      <c r="H857" t="s">
        <v>301</v>
      </c>
      <c r="I857" t="s">
        <v>303</v>
      </c>
      <c r="J857" t="s">
        <v>916</v>
      </c>
      <c r="K857" t="s">
        <v>2117</v>
      </c>
    </row>
    <row r="858" spans="1:11">
      <c r="A858" t="s">
        <v>1210</v>
      </c>
      <c r="B858" t="b">
        <v>0</v>
      </c>
      <c r="C858" t="s">
        <v>301</v>
      </c>
      <c r="E858" t="s">
        <v>301</v>
      </c>
      <c r="H858" t="s">
        <v>301</v>
      </c>
      <c r="I858" t="s">
        <v>303</v>
      </c>
      <c r="J858" t="s">
        <v>916</v>
      </c>
      <c r="K858" t="s">
        <v>2117</v>
      </c>
    </row>
    <row r="859" spans="1:11">
      <c r="A859" t="s">
        <v>1211</v>
      </c>
      <c r="B859" t="b">
        <v>0</v>
      </c>
      <c r="C859" t="s">
        <v>301</v>
      </c>
      <c r="E859" t="s">
        <v>323</v>
      </c>
      <c r="H859" t="s">
        <v>301</v>
      </c>
      <c r="I859" t="s">
        <v>303</v>
      </c>
      <c r="J859" t="s">
        <v>916</v>
      </c>
      <c r="K859" t="s">
        <v>2117</v>
      </c>
    </row>
    <row r="860" spans="1:11">
      <c r="A860" t="s">
        <v>1212</v>
      </c>
      <c r="B860" t="b">
        <v>0</v>
      </c>
      <c r="C860" t="s">
        <v>301</v>
      </c>
      <c r="D860" t="s">
        <v>301</v>
      </c>
      <c r="E860" t="s">
        <v>301</v>
      </c>
      <c r="H860" t="s">
        <v>301</v>
      </c>
      <c r="I860" t="s">
        <v>303</v>
      </c>
      <c r="J860" t="s">
        <v>916</v>
      </c>
      <c r="K860" t="s">
        <v>2117</v>
      </c>
    </row>
    <row r="861" spans="1:11">
      <c r="A861" t="s">
        <v>1213</v>
      </c>
      <c r="B861" t="b">
        <v>0</v>
      </c>
      <c r="C861" t="s">
        <v>340</v>
      </c>
      <c r="D861" t="s">
        <v>340</v>
      </c>
      <c r="E861" t="s">
        <v>340</v>
      </c>
      <c r="H861" t="s">
        <v>340</v>
      </c>
      <c r="I861" t="s">
        <v>303</v>
      </c>
      <c r="J861" t="s">
        <v>916</v>
      </c>
      <c r="K861" t="s">
        <v>2117</v>
      </c>
    </row>
    <row r="862" spans="1:11">
      <c r="A862" t="s">
        <v>1214</v>
      </c>
      <c r="B862" t="b">
        <v>0</v>
      </c>
      <c r="C862" t="s">
        <v>376</v>
      </c>
      <c r="D862" t="s">
        <v>389</v>
      </c>
      <c r="E862" t="s">
        <v>376</v>
      </c>
      <c r="H862" t="s">
        <v>301</v>
      </c>
      <c r="I862" t="s">
        <v>303</v>
      </c>
      <c r="J862" t="s">
        <v>916</v>
      </c>
      <c r="K862" t="s">
        <v>2117</v>
      </c>
    </row>
    <row r="863" spans="1:11">
      <c r="A863" t="s">
        <v>1215</v>
      </c>
      <c r="B863" t="b">
        <v>0</v>
      </c>
      <c r="C863" t="s">
        <v>301</v>
      </c>
      <c r="D863" t="s">
        <v>389</v>
      </c>
      <c r="E863" t="s">
        <v>301</v>
      </c>
      <c r="H863" t="s">
        <v>301</v>
      </c>
      <c r="I863" t="s">
        <v>303</v>
      </c>
      <c r="J863" t="s">
        <v>916</v>
      </c>
      <c r="K863" t="s">
        <v>2117</v>
      </c>
    </row>
    <row r="864" spans="1:11">
      <c r="A864" t="s">
        <v>1216</v>
      </c>
      <c r="B864" t="b">
        <v>0</v>
      </c>
      <c r="C864" t="s">
        <v>340</v>
      </c>
      <c r="D864" t="s">
        <v>340</v>
      </c>
      <c r="E864" t="s">
        <v>340</v>
      </c>
      <c r="H864" t="s">
        <v>340</v>
      </c>
      <c r="I864" t="s">
        <v>303</v>
      </c>
      <c r="J864" t="s">
        <v>916</v>
      </c>
      <c r="K864" t="s">
        <v>2117</v>
      </c>
    </row>
    <row r="865" spans="1:11">
      <c r="A865" t="s">
        <v>1217</v>
      </c>
      <c r="B865" t="b">
        <v>0</v>
      </c>
      <c r="C865" t="s">
        <v>301</v>
      </c>
      <c r="D865" t="s">
        <v>301</v>
      </c>
      <c r="E865" t="s">
        <v>301</v>
      </c>
      <c r="H865" t="s">
        <v>301</v>
      </c>
      <c r="I865" t="s">
        <v>303</v>
      </c>
      <c r="J865" t="s">
        <v>916</v>
      </c>
      <c r="K865" t="s">
        <v>2117</v>
      </c>
    </row>
    <row r="866" spans="1:11">
      <c r="A866" t="s">
        <v>1218</v>
      </c>
      <c r="B866" t="b">
        <v>0</v>
      </c>
      <c r="H866" t="s">
        <v>302</v>
      </c>
      <c r="I866" t="s">
        <v>303</v>
      </c>
      <c r="J866" t="s">
        <v>916</v>
      </c>
      <c r="K866" t="s">
        <v>2117</v>
      </c>
    </row>
    <row r="867" spans="1:11">
      <c r="A867" t="s">
        <v>1219</v>
      </c>
      <c r="B867" t="b">
        <v>0</v>
      </c>
      <c r="H867" t="s">
        <v>302</v>
      </c>
      <c r="I867" t="s">
        <v>303</v>
      </c>
      <c r="J867" t="s">
        <v>304</v>
      </c>
    </row>
    <row r="868" spans="1:11">
      <c r="A868" t="s">
        <v>1220</v>
      </c>
      <c r="B868" t="b">
        <v>0</v>
      </c>
      <c r="H868" t="s">
        <v>302</v>
      </c>
      <c r="I868" t="s">
        <v>303</v>
      </c>
      <c r="J868" t="s">
        <v>304</v>
      </c>
    </row>
    <row r="869" spans="1:11">
      <c r="A869" t="s">
        <v>1221</v>
      </c>
      <c r="B869" t="b">
        <v>0</v>
      </c>
      <c r="H869" t="s">
        <v>302</v>
      </c>
      <c r="I869" t="s">
        <v>303</v>
      </c>
      <c r="J869" t="s">
        <v>304</v>
      </c>
    </row>
    <row r="870" spans="1:11">
      <c r="A870" t="s">
        <v>1222</v>
      </c>
      <c r="B870" t="b">
        <v>0</v>
      </c>
      <c r="H870" t="s">
        <v>302</v>
      </c>
      <c r="I870" t="s">
        <v>303</v>
      </c>
      <c r="J870" t="s">
        <v>304</v>
      </c>
    </row>
    <row r="871" spans="1:11">
      <c r="A871" t="s">
        <v>1223</v>
      </c>
      <c r="B871" t="b">
        <v>0</v>
      </c>
      <c r="H871" t="s">
        <v>302</v>
      </c>
      <c r="I871" t="s">
        <v>303</v>
      </c>
      <c r="J871" t="s">
        <v>304</v>
      </c>
    </row>
    <row r="872" spans="1:11">
      <c r="A872" t="s">
        <v>1224</v>
      </c>
      <c r="B872" t="b">
        <v>0</v>
      </c>
      <c r="H872" t="s">
        <v>302</v>
      </c>
      <c r="I872" t="s">
        <v>303</v>
      </c>
      <c r="J872" t="s">
        <v>304</v>
      </c>
    </row>
    <row r="873" spans="1:11">
      <c r="A873" t="s">
        <v>1225</v>
      </c>
      <c r="B873" t="b">
        <v>0</v>
      </c>
      <c r="H873" t="s">
        <v>302</v>
      </c>
      <c r="I873" t="s">
        <v>303</v>
      </c>
      <c r="J873" t="s">
        <v>304</v>
      </c>
    </row>
    <row r="874" spans="1:11">
      <c r="A874" t="s">
        <v>1226</v>
      </c>
      <c r="B874" t="b">
        <v>0</v>
      </c>
      <c r="H874" t="s">
        <v>302</v>
      </c>
      <c r="I874" t="s">
        <v>303</v>
      </c>
      <c r="J874" t="s">
        <v>304</v>
      </c>
    </row>
    <row r="875" spans="1:11">
      <c r="A875" t="s">
        <v>1227</v>
      </c>
      <c r="B875" t="b">
        <v>0</v>
      </c>
      <c r="H875" t="s">
        <v>302</v>
      </c>
      <c r="I875" t="s">
        <v>303</v>
      </c>
      <c r="J875" t="s">
        <v>539</v>
      </c>
    </row>
    <row r="876" spans="1:11">
      <c r="A876" t="s">
        <v>1228</v>
      </c>
      <c r="B876" t="b">
        <v>0</v>
      </c>
      <c r="H876" t="s">
        <v>302</v>
      </c>
      <c r="I876" t="s">
        <v>303</v>
      </c>
      <c r="J876" t="s">
        <v>539</v>
      </c>
    </row>
    <row r="877" spans="1:11">
      <c r="A877" t="s">
        <v>1229</v>
      </c>
      <c r="B877" t="b">
        <v>0</v>
      </c>
      <c r="H877" t="s">
        <v>302</v>
      </c>
      <c r="I877" t="s">
        <v>303</v>
      </c>
      <c r="J877" t="s">
        <v>539</v>
      </c>
    </row>
    <row r="878" spans="1:11">
      <c r="A878" t="s">
        <v>1230</v>
      </c>
      <c r="B878" t="b">
        <v>0</v>
      </c>
      <c r="H878" t="s">
        <v>302</v>
      </c>
      <c r="I878" t="s">
        <v>303</v>
      </c>
      <c r="J878" t="s">
        <v>539</v>
      </c>
    </row>
    <row r="879" spans="1:11">
      <c r="A879" t="s">
        <v>1231</v>
      </c>
      <c r="B879" t="b">
        <v>0</v>
      </c>
      <c r="H879" t="s">
        <v>302</v>
      </c>
      <c r="I879" t="s">
        <v>303</v>
      </c>
      <c r="J879" t="s">
        <v>539</v>
      </c>
    </row>
    <row r="880" spans="1:11">
      <c r="A880" t="s">
        <v>1232</v>
      </c>
      <c r="B880" t="b">
        <v>0</v>
      </c>
      <c r="H880" t="s">
        <v>302</v>
      </c>
      <c r="I880" t="s">
        <v>303</v>
      </c>
      <c r="J880" t="s">
        <v>539</v>
      </c>
    </row>
    <row r="881" spans="1:10">
      <c r="A881" t="s">
        <v>1233</v>
      </c>
      <c r="B881" t="b">
        <v>0</v>
      </c>
      <c r="H881" t="s">
        <v>302</v>
      </c>
      <c r="I881" t="s">
        <v>303</v>
      </c>
      <c r="J881" t="s">
        <v>539</v>
      </c>
    </row>
    <row r="882" spans="1:10">
      <c r="A882" t="s">
        <v>1234</v>
      </c>
      <c r="B882" t="b">
        <v>0</v>
      </c>
      <c r="H882" t="s">
        <v>302</v>
      </c>
      <c r="I882" t="s">
        <v>303</v>
      </c>
      <c r="J882" t="s">
        <v>539</v>
      </c>
    </row>
    <row r="883" spans="1:10">
      <c r="A883" t="s">
        <v>1235</v>
      </c>
      <c r="B883" t="b">
        <v>0</v>
      </c>
      <c r="H883" t="s">
        <v>302</v>
      </c>
      <c r="I883" t="s">
        <v>303</v>
      </c>
      <c r="J883" t="s">
        <v>539</v>
      </c>
    </row>
    <row r="884" spans="1:10">
      <c r="A884" t="s">
        <v>1236</v>
      </c>
      <c r="B884" t="b">
        <v>0</v>
      </c>
      <c r="H884" t="s">
        <v>302</v>
      </c>
      <c r="I884" t="s">
        <v>303</v>
      </c>
      <c r="J884" t="s">
        <v>539</v>
      </c>
    </row>
    <row r="885" spans="1:10">
      <c r="A885" t="s">
        <v>1237</v>
      </c>
      <c r="B885" t="b">
        <v>0</v>
      </c>
      <c r="H885" t="s">
        <v>302</v>
      </c>
      <c r="I885" t="s">
        <v>303</v>
      </c>
      <c r="J885" t="s">
        <v>411</v>
      </c>
    </row>
    <row r="886" spans="1:10">
      <c r="A886" t="s">
        <v>1238</v>
      </c>
      <c r="B886" t="b">
        <v>0</v>
      </c>
      <c r="H886" t="s">
        <v>302</v>
      </c>
      <c r="I886" t="s">
        <v>303</v>
      </c>
      <c r="J886" t="s">
        <v>411</v>
      </c>
    </row>
    <row r="887" spans="1:10">
      <c r="A887" t="s">
        <v>1239</v>
      </c>
      <c r="B887" t="b">
        <v>0</v>
      </c>
      <c r="H887" t="s">
        <v>302</v>
      </c>
      <c r="I887" t="s">
        <v>303</v>
      </c>
      <c r="J887" t="s">
        <v>411</v>
      </c>
    </row>
    <row r="888" spans="1:10">
      <c r="A888" t="s">
        <v>1240</v>
      </c>
      <c r="B888" t="b">
        <v>0</v>
      </c>
      <c r="H888" t="s">
        <v>302</v>
      </c>
      <c r="I888" t="s">
        <v>303</v>
      </c>
      <c r="J888" t="s">
        <v>411</v>
      </c>
    </row>
    <row r="889" spans="1:10">
      <c r="A889" t="s">
        <v>1241</v>
      </c>
      <c r="B889" t="b">
        <v>0</v>
      </c>
      <c r="H889" t="s">
        <v>302</v>
      </c>
      <c r="I889" t="s">
        <v>303</v>
      </c>
      <c r="J889" t="s">
        <v>411</v>
      </c>
    </row>
    <row r="890" spans="1:10">
      <c r="A890" t="s">
        <v>1242</v>
      </c>
      <c r="B890" t="b">
        <v>0</v>
      </c>
      <c r="H890" t="s">
        <v>302</v>
      </c>
      <c r="I890" t="s">
        <v>303</v>
      </c>
      <c r="J890" t="s">
        <v>411</v>
      </c>
    </row>
    <row r="891" spans="1:10">
      <c r="A891" t="s">
        <v>1243</v>
      </c>
      <c r="B891" t="b">
        <v>0</v>
      </c>
      <c r="H891" t="s">
        <v>302</v>
      </c>
      <c r="I891" t="s">
        <v>303</v>
      </c>
      <c r="J891" t="s">
        <v>411</v>
      </c>
    </row>
    <row r="892" spans="1:10">
      <c r="A892" t="s">
        <v>1244</v>
      </c>
      <c r="B892" t="b">
        <v>0</v>
      </c>
      <c r="H892" t="s">
        <v>302</v>
      </c>
      <c r="I892" t="s">
        <v>303</v>
      </c>
      <c r="J892" t="s">
        <v>411</v>
      </c>
    </row>
    <row r="893" spans="1:10">
      <c r="A893" t="s">
        <v>1245</v>
      </c>
      <c r="B893" t="b">
        <v>0</v>
      </c>
      <c r="H893" t="s">
        <v>302</v>
      </c>
      <c r="I893" t="s">
        <v>303</v>
      </c>
      <c r="J893" t="s">
        <v>411</v>
      </c>
    </row>
    <row r="894" spans="1:10">
      <c r="A894" t="s">
        <v>1246</v>
      </c>
      <c r="B894" t="b">
        <v>0</v>
      </c>
      <c r="H894" t="s">
        <v>302</v>
      </c>
      <c r="I894" t="s">
        <v>303</v>
      </c>
      <c r="J894" t="s">
        <v>411</v>
      </c>
    </row>
    <row r="895" spans="1:10">
      <c r="A895" t="s">
        <v>1247</v>
      </c>
      <c r="B895" t="b">
        <v>0</v>
      </c>
      <c r="H895" t="s">
        <v>302</v>
      </c>
      <c r="I895" t="s">
        <v>303</v>
      </c>
      <c r="J895" t="s">
        <v>411</v>
      </c>
    </row>
    <row r="896" spans="1:10">
      <c r="A896" t="s">
        <v>1248</v>
      </c>
      <c r="B896" t="b">
        <v>0</v>
      </c>
      <c r="H896" t="s">
        <v>302</v>
      </c>
      <c r="I896" t="s">
        <v>303</v>
      </c>
      <c r="J896" t="s">
        <v>411</v>
      </c>
    </row>
    <row r="897" spans="1:10">
      <c r="A897" t="s">
        <v>1249</v>
      </c>
      <c r="B897" t="b">
        <v>0</v>
      </c>
      <c r="H897" t="s">
        <v>302</v>
      </c>
      <c r="I897" t="s">
        <v>303</v>
      </c>
      <c r="J897" t="s">
        <v>411</v>
      </c>
    </row>
    <row r="898" spans="1:10">
      <c r="A898" t="s">
        <v>1250</v>
      </c>
      <c r="B898" t="b">
        <v>0</v>
      </c>
      <c r="H898" t="s">
        <v>302</v>
      </c>
      <c r="I898" t="s">
        <v>303</v>
      </c>
      <c r="J898" t="s">
        <v>411</v>
      </c>
    </row>
    <row r="899" spans="1:10">
      <c r="A899" t="s">
        <v>1251</v>
      </c>
      <c r="B899" t="b">
        <v>0</v>
      </c>
      <c r="H899" t="s">
        <v>302</v>
      </c>
      <c r="I899" t="s">
        <v>303</v>
      </c>
      <c r="J899" t="s">
        <v>979</v>
      </c>
    </row>
    <row r="900" spans="1:10">
      <c r="A900" t="s">
        <v>1252</v>
      </c>
      <c r="B900" t="b">
        <v>0</v>
      </c>
      <c r="H900" t="s">
        <v>302</v>
      </c>
      <c r="I900" t="s">
        <v>303</v>
      </c>
      <c r="J900" t="s">
        <v>979</v>
      </c>
    </row>
    <row r="901" spans="1:10">
      <c r="A901" t="s">
        <v>1253</v>
      </c>
      <c r="B901" t="b">
        <v>0</v>
      </c>
      <c r="C901" t="s">
        <v>301</v>
      </c>
      <c r="D901" t="s">
        <v>301</v>
      </c>
      <c r="E901" t="s">
        <v>301</v>
      </c>
      <c r="H901" t="s">
        <v>302</v>
      </c>
      <c r="I901" t="s">
        <v>303</v>
      </c>
      <c r="J901" t="s">
        <v>979</v>
      </c>
    </row>
    <row r="902" spans="1:10">
      <c r="A902" t="s">
        <v>1254</v>
      </c>
      <c r="B902" t="b">
        <v>0</v>
      </c>
      <c r="H902" t="s">
        <v>302</v>
      </c>
      <c r="I902" t="s">
        <v>303</v>
      </c>
      <c r="J902" t="s">
        <v>979</v>
      </c>
    </row>
    <row r="903" spans="1:10">
      <c r="A903" t="s">
        <v>1255</v>
      </c>
      <c r="B903" t="b">
        <v>0</v>
      </c>
      <c r="H903" t="s">
        <v>302</v>
      </c>
      <c r="I903" t="s">
        <v>303</v>
      </c>
      <c r="J903" t="s">
        <v>979</v>
      </c>
    </row>
    <row r="904" spans="1:10">
      <c r="A904" t="s">
        <v>1256</v>
      </c>
      <c r="B904" t="b">
        <v>0</v>
      </c>
      <c r="C904" t="s">
        <v>301</v>
      </c>
      <c r="D904" t="s">
        <v>301</v>
      </c>
      <c r="E904" t="s">
        <v>301</v>
      </c>
      <c r="H904" t="s">
        <v>302</v>
      </c>
      <c r="I904" t="s">
        <v>303</v>
      </c>
      <c r="J904" t="s">
        <v>979</v>
      </c>
    </row>
    <row r="905" spans="1:10">
      <c r="A905" t="s">
        <v>1257</v>
      </c>
      <c r="B905" t="b">
        <v>0</v>
      </c>
      <c r="H905" t="s">
        <v>302</v>
      </c>
      <c r="I905" t="s">
        <v>303</v>
      </c>
      <c r="J905" t="s">
        <v>979</v>
      </c>
    </row>
    <row r="906" spans="1:10">
      <c r="A906" t="s">
        <v>1258</v>
      </c>
      <c r="B906" t="b">
        <v>0</v>
      </c>
      <c r="H906" t="s">
        <v>302</v>
      </c>
      <c r="I906" t="s">
        <v>303</v>
      </c>
      <c r="J906" t="s">
        <v>979</v>
      </c>
    </row>
    <row r="907" spans="1:10">
      <c r="A907" t="s">
        <v>1259</v>
      </c>
      <c r="B907" t="b">
        <v>0</v>
      </c>
      <c r="H907" t="s">
        <v>302</v>
      </c>
      <c r="I907" t="s">
        <v>303</v>
      </c>
      <c r="J907" t="s">
        <v>979</v>
      </c>
    </row>
    <row r="908" spans="1:10">
      <c r="A908" t="s">
        <v>1260</v>
      </c>
      <c r="B908" t="b">
        <v>0</v>
      </c>
      <c r="H908" t="s">
        <v>302</v>
      </c>
      <c r="I908" t="s">
        <v>303</v>
      </c>
      <c r="J908" t="s">
        <v>539</v>
      </c>
    </row>
    <row r="909" spans="1:10">
      <c r="A909" t="s">
        <v>1261</v>
      </c>
      <c r="B909" t="b">
        <v>0</v>
      </c>
      <c r="C909" t="s">
        <v>330</v>
      </c>
      <c r="D909" t="s">
        <v>322</v>
      </c>
      <c r="E909" t="s">
        <v>323</v>
      </c>
      <c r="H909" t="s">
        <v>302</v>
      </c>
      <c r="I909" t="s">
        <v>303</v>
      </c>
      <c r="J909" t="s">
        <v>411</v>
      </c>
    </row>
    <row r="910" spans="1:10">
      <c r="A910" t="s">
        <v>1262</v>
      </c>
      <c r="B910" t="b">
        <v>0</v>
      </c>
      <c r="C910" t="s">
        <v>340</v>
      </c>
      <c r="D910" t="s">
        <v>340</v>
      </c>
      <c r="E910" t="s">
        <v>340</v>
      </c>
      <c r="H910" t="s">
        <v>302</v>
      </c>
      <c r="I910" t="s">
        <v>303</v>
      </c>
      <c r="J910" t="s">
        <v>411</v>
      </c>
    </row>
    <row r="911" spans="1:10">
      <c r="A911" t="s">
        <v>1263</v>
      </c>
      <c r="B911" t="b">
        <v>0</v>
      </c>
      <c r="C911" t="s">
        <v>330</v>
      </c>
      <c r="D911" t="s">
        <v>322</v>
      </c>
      <c r="E911" t="s">
        <v>323</v>
      </c>
      <c r="H911" t="s">
        <v>302</v>
      </c>
      <c r="I911" t="s">
        <v>303</v>
      </c>
      <c r="J911" t="s">
        <v>411</v>
      </c>
    </row>
    <row r="912" spans="1:10">
      <c r="A912" t="s">
        <v>1264</v>
      </c>
      <c r="B912" t="b">
        <v>0</v>
      </c>
      <c r="C912" t="s">
        <v>340</v>
      </c>
      <c r="D912" t="s">
        <v>340</v>
      </c>
      <c r="E912" t="s">
        <v>340</v>
      </c>
      <c r="H912" t="s">
        <v>302</v>
      </c>
      <c r="I912" t="s">
        <v>303</v>
      </c>
      <c r="J912" t="s">
        <v>411</v>
      </c>
    </row>
    <row r="913" spans="1:10">
      <c r="A913" t="s">
        <v>1265</v>
      </c>
      <c r="B913" t="b">
        <v>0</v>
      </c>
      <c r="C913" t="s">
        <v>340</v>
      </c>
      <c r="D913" t="s">
        <v>322</v>
      </c>
      <c r="E913" t="s">
        <v>323</v>
      </c>
      <c r="H913" t="s">
        <v>302</v>
      </c>
      <c r="I913" t="s">
        <v>303</v>
      </c>
      <c r="J913" t="s">
        <v>411</v>
      </c>
    </row>
    <row r="914" spans="1:10">
      <c r="A914" t="s">
        <v>1266</v>
      </c>
      <c r="B914" t="b">
        <v>0</v>
      </c>
      <c r="C914" t="s">
        <v>330</v>
      </c>
      <c r="D914" t="s">
        <v>322</v>
      </c>
      <c r="E914" t="s">
        <v>323</v>
      </c>
      <c r="H914" t="s">
        <v>302</v>
      </c>
      <c r="I914" t="s">
        <v>303</v>
      </c>
      <c r="J914" t="s">
        <v>411</v>
      </c>
    </row>
    <row r="915" spans="1:10">
      <c r="A915" t="s">
        <v>1267</v>
      </c>
      <c r="B915" t="b">
        <v>0</v>
      </c>
      <c r="C915" t="s">
        <v>301</v>
      </c>
      <c r="D915" t="s">
        <v>322</v>
      </c>
      <c r="E915" t="s">
        <v>323</v>
      </c>
      <c r="H915" t="s">
        <v>302</v>
      </c>
      <c r="I915" t="s">
        <v>303</v>
      </c>
      <c r="J915" t="s">
        <v>411</v>
      </c>
    </row>
    <row r="916" spans="1:10">
      <c r="A916" t="s">
        <v>1268</v>
      </c>
      <c r="B916" t="b">
        <v>0</v>
      </c>
      <c r="C916" t="s">
        <v>330</v>
      </c>
      <c r="D916" t="s">
        <v>322</v>
      </c>
      <c r="E916" t="s">
        <v>323</v>
      </c>
      <c r="H916" t="s">
        <v>302</v>
      </c>
      <c r="I916" t="s">
        <v>303</v>
      </c>
      <c r="J916" t="s">
        <v>411</v>
      </c>
    </row>
    <row r="917" spans="1:10">
      <c r="A917" t="s">
        <v>1269</v>
      </c>
      <c r="B917" t="b">
        <v>0</v>
      </c>
      <c r="H917" t="s">
        <v>302</v>
      </c>
      <c r="I917" t="s">
        <v>303</v>
      </c>
      <c r="J917" t="s">
        <v>411</v>
      </c>
    </row>
    <row r="918" spans="1:10">
      <c r="A918" t="s">
        <v>1270</v>
      </c>
      <c r="B918" t="b">
        <v>0</v>
      </c>
      <c r="C918" t="s">
        <v>301</v>
      </c>
      <c r="D918" t="s">
        <v>301</v>
      </c>
      <c r="E918" t="s">
        <v>301</v>
      </c>
      <c r="H918" t="s">
        <v>302</v>
      </c>
      <c r="I918" t="s">
        <v>303</v>
      </c>
      <c r="J918" t="s">
        <v>411</v>
      </c>
    </row>
    <row r="919" spans="1:10">
      <c r="A919" t="s">
        <v>1271</v>
      </c>
      <c r="B919" t="b">
        <v>0</v>
      </c>
      <c r="C919" t="s">
        <v>301</v>
      </c>
      <c r="D919" t="s">
        <v>322</v>
      </c>
      <c r="E919" t="s">
        <v>323</v>
      </c>
      <c r="H919" t="s">
        <v>302</v>
      </c>
      <c r="I919" t="s">
        <v>303</v>
      </c>
      <c r="J919" t="s">
        <v>411</v>
      </c>
    </row>
    <row r="920" spans="1:10">
      <c r="A920" t="s">
        <v>1272</v>
      </c>
      <c r="B920" t="b">
        <v>0</v>
      </c>
      <c r="C920" t="s">
        <v>353</v>
      </c>
      <c r="D920" t="s">
        <v>354</v>
      </c>
      <c r="E920" t="s">
        <v>353</v>
      </c>
      <c r="H920" t="s">
        <v>302</v>
      </c>
      <c r="I920" t="s">
        <v>303</v>
      </c>
      <c r="J920" t="s">
        <v>411</v>
      </c>
    </row>
    <row r="921" spans="1:10">
      <c r="A921" t="s">
        <v>1273</v>
      </c>
      <c r="B921" t="b">
        <v>0</v>
      </c>
      <c r="C921" t="s">
        <v>330</v>
      </c>
      <c r="D921" t="s">
        <v>322</v>
      </c>
      <c r="E921" t="s">
        <v>323</v>
      </c>
      <c r="H921" t="s">
        <v>302</v>
      </c>
      <c r="I921" t="s">
        <v>303</v>
      </c>
      <c r="J921" t="s">
        <v>411</v>
      </c>
    </row>
    <row r="922" spans="1:10">
      <c r="A922" t="s">
        <v>1274</v>
      </c>
      <c r="B922" t="b">
        <v>0</v>
      </c>
      <c r="H922" t="s">
        <v>302</v>
      </c>
      <c r="I922" t="s">
        <v>303</v>
      </c>
      <c r="J922" t="s">
        <v>539</v>
      </c>
    </row>
    <row r="923" spans="1:10">
      <c r="A923" t="s">
        <v>1275</v>
      </c>
      <c r="B923" t="b">
        <v>0</v>
      </c>
      <c r="H923" t="s">
        <v>302</v>
      </c>
      <c r="I923" t="s">
        <v>303</v>
      </c>
      <c r="J923" t="s">
        <v>539</v>
      </c>
    </row>
    <row r="924" spans="1:10">
      <c r="A924" t="s">
        <v>1276</v>
      </c>
      <c r="B924" t="b">
        <v>0</v>
      </c>
      <c r="H924" t="s">
        <v>302</v>
      </c>
      <c r="I924" t="s">
        <v>303</v>
      </c>
      <c r="J924" t="s">
        <v>539</v>
      </c>
    </row>
    <row r="925" spans="1:10">
      <c r="A925" t="s">
        <v>1277</v>
      </c>
      <c r="B925" t="b">
        <v>0</v>
      </c>
      <c r="H925" t="s">
        <v>302</v>
      </c>
      <c r="I925" t="s">
        <v>303</v>
      </c>
      <c r="J925" t="s">
        <v>539</v>
      </c>
    </row>
    <row r="926" spans="1:10">
      <c r="A926" t="s">
        <v>1278</v>
      </c>
      <c r="B926" t="b">
        <v>0</v>
      </c>
      <c r="H926" t="s">
        <v>302</v>
      </c>
      <c r="I926" t="s">
        <v>303</v>
      </c>
      <c r="J926" t="s">
        <v>539</v>
      </c>
    </row>
    <row r="927" spans="1:10">
      <c r="A927" t="s">
        <v>1279</v>
      </c>
      <c r="B927" t="b">
        <v>0</v>
      </c>
      <c r="H927" t="s">
        <v>302</v>
      </c>
      <c r="I927" t="s">
        <v>303</v>
      </c>
      <c r="J927" t="s">
        <v>539</v>
      </c>
    </row>
    <row r="928" spans="1:10">
      <c r="A928" t="s">
        <v>1280</v>
      </c>
      <c r="B928" t="b">
        <v>0</v>
      </c>
      <c r="H928" t="s">
        <v>302</v>
      </c>
      <c r="I928" t="s">
        <v>303</v>
      </c>
      <c r="J928" t="s">
        <v>539</v>
      </c>
    </row>
    <row r="929" spans="1:10">
      <c r="A929" t="s">
        <v>1281</v>
      </c>
      <c r="B929" t="b">
        <v>0</v>
      </c>
      <c r="H929" t="s">
        <v>302</v>
      </c>
      <c r="I929" t="s">
        <v>303</v>
      </c>
      <c r="J929" t="s">
        <v>539</v>
      </c>
    </row>
    <row r="930" spans="1:10">
      <c r="A930" t="s">
        <v>2118</v>
      </c>
      <c r="B930" t="b">
        <v>0</v>
      </c>
      <c r="H930" t="s">
        <v>302</v>
      </c>
      <c r="I930" t="s">
        <v>303</v>
      </c>
      <c r="J930" t="s">
        <v>411</v>
      </c>
    </row>
    <row r="931" spans="1:10">
      <c r="A931" t="s">
        <v>2119</v>
      </c>
      <c r="B931" t="b">
        <v>0</v>
      </c>
      <c r="H931" t="s">
        <v>302</v>
      </c>
      <c r="I931" t="s">
        <v>303</v>
      </c>
      <c r="J931" t="s">
        <v>411</v>
      </c>
    </row>
    <row r="932" spans="1:10">
      <c r="A932" t="s">
        <v>2120</v>
      </c>
      <c r="B932" t="b">
        <v>0</v>
      </c>
      <c r="H932" t="s">
        <v>302</v>
      </c>
      <c r="I932" t="s">
        <v>303</v>
      </c>
      <c r="J932" t="s">
        <v>411</v>
      </c>
    </row>
    <row r="933" spans="1:10">
      <c r="A933" t="s">
        <v>2121</v>
      </c>
      <c r="B933" t="b">
        <v>0</v>
      </c>
      <c r="H933" t="s">
        <v>302</v>
      </c>
      <c r="I933" t="s">
        <v>303</v>
      </c>
      <c r="J933" t="s">
        <v>411</v>
      </c>
    </row>
    <row r="934" spans="1:10">
      <c r="A934" t="s">
        <v>2122</v>
      </c>
      <c r="B934" t="b">
        <v>0</v>
      </c>
      <c r="H934" t="s">
        <v>302</v>
      </c>
      <c r="I934" t="s">
        <v>303</v>
      </c>
      <c r="J934" t="s">
        <v>411</v>
      </c>
    </row>
    <row r="935" spans="1:10">
      <c r="A935" t="s">
        <v>2123</v>
      </c>
      <c r="B935" t="b">
        <v>0</v>
      </c>
      <c r="H935" t="s">
        <v>302</v>
      </c>
      <c r="I935" t="s">
        <v>303</v>
      </c>
      <c r="J935" t="s">
        <v>411</v>
      </c>
    </row>
    <row r="936" spans="1:10">
      <c r="A936" t="s">
        <v>2124</v>
      </c>
      <c r="B936" t="b">
        <v>0</v>
      </c>
      <c r="H936" t="s">
        <v>302</v>
      </c>
      <c r="I936" t="s">
        <v>303</v>
      </c>
      <c r="J936" t="s">
        <v>411</v>
      </c>
    </row>
    <row r="937" spans="1:10">
      <c r="A937" t="s">
        <v>2125</v>
      </c>
      <c r="B937" t="b">
        <v>0</v>
      </c>
      <c r="H937" t="s">
        <v>302</v>
      </c>
      <c r="I937" t="s">
        <v>303</v>
      </c>
      <c r="J937" t="s">
        <v>411</v>
      </c>
    </row>
    <row r="938" spans="1:10">
      <c r="A938" t="s">
        <v>2126</v>
      </c>
      <c r="B938" t="b">
        <v>0</v>
      </c>
      <c r="H938" t="s">
        <v>302</v>
      </c>
      <c r="I938" t="s">
        <v>303</v>
      </c>
      <c r="J938" t="s">
        <v>411</v>
      </c>
    </row>
    <row r="939" spans="1:10">
      <c r="A939" t="s">
        <v>1282</v>
      </c>
      <c r="B939" t="b">
        <v>0</v>
      </c>
      <c r="C939" t="s">
        <v>301</v>
      </c>
      <c r="D939" t="s">
        <v>301</v>
      </c>
      <c r="E939" t="s">
        <v>301</v>
      </c>
      <c r="H939" t="s">
        <v>302</v>
      </c>
      <c r="I939" t="s">
        <v>303</v>
      </c>
      <c r="J939" t="s">
        <v>539</v>
      </c>
    </row>
    <row r="940" spans="1:10">
      <c r="A940" t="s">
        <v>1283</v>
      </c>
      <c r="B940" t="b">
        <v>0</v>
      </c>
      <c r="C940" t="s">
        <v>301</v>
      </c>
      <c r="D940" t="s">
        <v>301</v>
      </c>
      <c r="E940" t="s">
        <v>301</v>
      </c>
      <c r="H940" t="s">
        <v>302</v>
      </c>
      <c r="I940" t="s">
        <v>303</v>
      </c>
      <c r="J940" t="s">
        <v>539</v>
      </c>
    </row>
    <row r="941" spans="1:10">
      <c r="A941" t="s">
        <v>1284</v>
      </c>
      <c r="B941" t="b">
        <v>0</v>
      </c>
      <c r="C941" t="s">
        <v>353</v>
      </c>
      <c r="D941" t="s">
        <v>354</v>
      </c>
      <c r="E941" t="s">
        <v>353</v>
      </c>
      <c r="H941" t="s">
        <v>302</v>
      </c>
      <c r="I941" t="s">
        <v>303</v>
      </c>
      <c r="J941" t="s">
        <v>539</v>
      </c>
    </row>
    <row r="942" spans="1:10">
      <c r="A942" t="s">
        <v>1285</v>
      </c>
      <c r="B942" t="b">
        <v>0</v>
      </c>
      <c r="C942" t="s">
        <v>301</v>
      </c>
      <c r="D942" t="s">
        <v>322</v>
      </c>
      <c r="E942" t="s">
        <v>323</v>
      </c>
      <c r="H942" t="s">
        <v>302</v>
      </c>
      <c r="I942" t="s">
        <v>303</v>
      </c>
      <c r="J942" t="s">
        <v>539</v>
      </c>
    </row>
    <row r="943" spans="1:10">
      <c r="A943" t="s">
        <v>1286</v>
      </c>
      <c r="B943" t="b">
        <v>0</v>
      </c>
      <c r="C943" t="s">
        <v>353</v>
      </c>
      <c r="D943" t="s">
        <v>354</v>
      </c>
      <c r="E943" t="s">
        <v>353</v>
      </c>
      <c r="H943" t="s">
        <v>302</v>
      </c>
      <c r="I943" t="s">
        <v>303</v>
      </c>
      <c r="J943" t="s">
        <v>539</v>
      </c>
    </row>
    <row r="944" spans="1:10">
      <c r="A944" t="s">
        <v>1287</v>
      </c>
      <c r="B944" t="b">
        <v>0</v>
      </c>
      <c r="C944" t="s">
        <v>353</v>
      </c>
      <c r="D944" t="s">
        <v>354</v>
      </c>
      <c r="E944" t="s">
        <v>353</v>
      </c>
      <c r="H944" t="s">
        <v>302</v>
      </c>
      <c r="I944" t="s">
        <v>303</v>
      </c>
      <c r="J944" t="s">
        <v>539</v>
      </c>
    </row>
    <row r="945" spans="1:10">
      <c r="A945" t="s">
        <v>1288</v>
      </c>
      <c r="B945" t="b">
        <v>0</v>
      </c>
      <c r="C945" t="s">
        <v>301</v>
      </c>
      <c r="D945" t="s">
        <v>322</v>
      </c>
      <c r="E945" t="s">
        <v>323</v>
      </c>
      <c r="H945" t="s">
        <v>302</v>
      </c>
      <c r="I945" t="s">
        <v>303</v>
      </c>
      <c r="J945" t="s">
        <v>539</v>
      </c>
    </row>
    <row r="946" spans="1:10">
      <c r="A946" t="s">
        <v>1289</v>
      </c>
      <c r="B946" t="b">
        <v>0</v>
      </c>
      <c r="C946" t="s">
        <v>301</v>
      </c>
      <c r="D946" t="s">
        <v>322</v>
      </c>
      <c r="E946" t="s">
        <v>323</v>
      </c>
      <c r="H946" t="s">
        <v>302</v>
      </c>
      <c r="I946" t="s">
        <v>303</v>
      </c>
      <c r="J946" t="s">
        <v>539</v>
      </c>
    </row>
    <row r="947" spans="1:10">
      <c r="A947" t="s">
        <v>1290</v>
      </c>
      <c r="B947" t="b">
        <v>0</v>
      </c>
      <c r="C947" t="s">
        <v>301</v>
      </c>
      <c r="D947" t="s">
        <v>322</v>
      </c>
      <c r="E947" t="s">
        <v>323</v>
      </c>
      <c r="H947" t="s">
        <v>302</v>
      </c>
      <c r="I947" t="s">
        <v>303</v>
      </c>
      <c r="J947" t="s">
        <v>539</v>
      </c>
    </row>
    <row r="948" spans="1:10">
      <c r="A948" t="s">
        <v>1291</v>
      </c>
      <c r="B948" t="b">
        <v>0</v>
      </c>
      <c r="C948" t="s">
        <v>301</v>
      </c>
      <c r="D948" t="s">
        <v>322</v>
      </c>
      <c r="E948" t="s">
        <v>323</v>
      </c>
      <c r="H948" t="s">
        <v>302</v>
      </c>
      <c r="I948" t="s">
        <v>303</v>
      </c>
      <c r="J948" t="s">
        <v>539</v>
      </c>
    </row>
    <row r="949" spans="1:10">
      <c r="A949" t="s">
        <v>1292</v>
      </c>
      <c r="B949" t="b">
        <v>0</v>
      </c>
      <c r="C949" t="s">
        <v>301</v>
      </c>
      <c r="D949" t="s">
        <v>322</v>
      </c>
      <c r="E949" t="s">
        <v>323</v>
      </c>
      <c r="H949" t="s">
        <v>302</v>
      </c>
      <c r="I949" t="s">
        <v>303</v>
      </c>
      <c r="J949" t="s">
        <v>539</v>
      </c>
    </row>
    <row r="950" spans="1:10">
      <c r="A950" t="s">
        <v>1293</v>
      </c>
      <c r="B950" t="b">
        <v>0</v>
      </c>
      <c r="C950" t="s">
        <v>301</v>
      </c>
      <c r="D950" t="s">
        <v>322</v>
      </c>
      <c r="E950" t="s">
        <v>323</v>
      </c>
      <c r="H950" t="s">
        <v>302</v>
      </c>
      <c r="I950" t="s">
        <v>303</v>
      </c>
      <c r="J950" t="s">
        <v>539</v>
      </c>
    </row>
    <row r="951" spans="1:10">
      <c r="A951" t="s">
        <v>1294</v>
      </c>
      <c r="B951" t="b">
        <v>0</v>
      </c>
      <c r="C951" t="s">
        <v>340</v>
      </c>
      <c r="D951" t="s">
        <v>340</v>
      </c>
      <c r="E951" t="s">
        <v>340</v>
      </c>
      <c r="H951" t="s">
        <v>302</v>
      </c>
      <c r="I951" t="s">
        <v>303</v>
      </c>
      <c r="J951" t="s">
        <v>539</v>
      </c>
    </row>
    <row r="952" spans="1:10">
      <c r="A952" t="s">
        <v>1295</v>
      </c>
      <c r="B952" t="b">
        <v>0</v>
      </c>
      <c r="C952" t="s">
        <v>340</v>
      </c>
      <c r="D952" t="s">
        <v>340</v>
      </c>
      <c r="E952" t="s">
        <v>340</v>
      </c>
      <c r="H952" t="s">
        <v>302</v>
      </c>
      <c r="I952" t="s">
        <v>303</v>
      </c>
      <c r="J952" t="s">
        <v>539</v>
      </c>
    </row>
    <row r="953" spans="1:10">
      <c r="A953" t="s">
        <v>1296</v>
      </c>
      <c r="B953" t="b">
        <v>0</v>
      </c>
      <c r="H953" t="s">
        <v>302</v>
      </c>
      <c r="I953" t="s">
        <v>303</v>
      </c>
      <c r="J953" t="s">
        <v>539</v>
      </c>
    </row>
    <row r="954" spans="1:10">
      <c r="A954" t="s">
        <v>1297</v>
      </c>
      <c r="B954" t="b">
        <v>0</v>
      </c>
      <c r="H954" t="s">
        <v>302</v>
      </c>
      <c r="I954" t="s">
        <v>303</v>
      </c>
      <c r="J954" t="s">
        <v>539</v>
      </c>
    </row>
    <row r="955" spans="1:10">
      <c r="A955" t="s">
        <v>1298</v>
      </c>
      <c r="B955" t="b">
        <v>0</v>
      </c>
      <c r="H955" t="s">
        <v>302</v>
      </c>
      <c r="I955" t="s">
        <v>303</v>
      </c>
      <c r="J955" t="s">
        <v>539</v>
      </c>
    </row>
    <row r="956" spans="1:10">
      <c r="A956" t="s">
        <v>1299</v>
      </c>
      <c r="B956" t="b">
        <v>0</v>
      </c>
      <c r="H956" t="s">
        <v>302</v>
      </c>
      <c r="I956" t="s">
        <v>303</v>
      </c>
      <c r="J956" t="s">
        <v>539</v>
      </c>
    </row>
    <row r="957" spans="1:10">
      <c r="A957" t="s">
        <v>1300</v>
      </c>
      <c r="B957" t="b">
        <v>0</v>
      </c>
      <c r="H957" t="s">
        <v>302</v>
      </c>
      <c r="I957" t="s">
        <v>303</v>
      </c>
      <c r="J957" t="s">
        <v>539</v>
      </c>
    </row>
    <row r="958" spans="1:10">
      <c r="A958" t="s">
        <v>1301</v>
      </c>
      <c r="B958" t="b">
        <v>0</v>
      </c>
      <c r="H958" t="s">
        <v>302</v>
      </c>
      <c r="I958" t="s">
        <v>303</v>
      </c>
      <c r="J958" t="s">
        <v>539</v>
      </c>
    </row>
    <row r="959" spans="1:10">
      <c r="A959" t="s">
        <v>1302</v>
      </c>
      <c r="B959" t="b">
        <v>0</v>
      </c>
      <c r="H959" t="s">
        <v>302</v>
      </c>
      <c r="I959" t="s">
        <v>303</v>
      </c>
      <c r="J959" t="s">
        <v>539</v>
      </c>
    </row>
    <row r="960" spans="1:10">
      <c r="A960" t="s">
        <v>1303</v>
      </c>
      <c r="B960" t="b">
        <v>0</v>
      </c>
      <c r="H960" t="s">
        <v>302</v>
      </c>
      <c r="I960" t="s">
        <v>303</v>
      </c>
      <c r="J960" t="s">
        <v>539</v>
      </c>
    </row>
    <row r="961" spans="1:10">
      <c r="A961" t="s">
        <v>1304</v>
      </c>
      <c r="B961" t="b">
        <v>0</v>
      </c>
      <c r="H961" t="s">
        <v>302</v>
      </c>
      <c r="I961" t="s">
        <v>303</v>
      </c>
      <c r="J961" t="s">
        <v>539</v>
      </c>
    </row>
    <row r="962" spans="1:10">
      <c r="A962" t="s">
        <v>1305</v>
      </c>
      <c r="B962" t="b">
        <v>0</v>
      </c>
      <c r="H962" t="s">
        <v>302</v>
      </c>
      <c r="I962" t="s">
        <v>303</v>
      </c>
      <c r="J962" t="s">
        <v>539</v>
      </c>
    </row>
    <row r="963" spans="1:10">
      <c r="A963" t="s">
        <v>1306</v>
      </c>
      <c r="B963" t="b">
        <v>0</v>
      </c>
      <c r="H963" t="s">
        <v>302</v>
      </c>
      <c r="I963" t="s">
        <v>303</v>
      </c>
      <c r="J963" t="s">
        <v>539</v>
      </c>
    </row>
    <row r="964" spans="1:10">
      <c r="A964" t="s">
        <v>1307</v>
      </c>
      <c r="B964" t="b">
        <v>0</v>
      </c>
      <c r="H964" t="s">
        <v>302</v>
      </c>
      <c r="I964" t="s">
        <v>303</v>
      </c>
      <c r="J964" t="s">
        <v>539</v>
      </c>
    </row>
    <row r="965" spans="1:10">
      <c r="A965" t="s">
        <v>1308</v>
      </c>
      <c r="B965" t="b">
        <v>0</v>
      </c>
      <c r="H965" t="s">
        <v>302</v>
      </c>
      <c r="I965" t="s">
        <v>303</v>
      </c>
      <c r="J965" t="s">
        <v>539</v>
      </c>
    </row>
    <row r="966" spans="1:10">
      <c r="A966" t="s">
        <v>1309</v>
      </c>
      <c r="B966" t="b">
        <v>0</v>
      </c>
      <c r="H966" t="s">
        <v>302</v>
      </c>
      <c r="I966" t="s">
        <v>303</v>
      </c>
      <c r="J966" t="s">
        <v>539</v>
      </c>
    </row>
    <row r="967" spans="1:10">
      <c r="A967" t="s">
        <v>1310</v>
      </c>
      <c r="B967" t="b">
        <v>0</v>
      </c>
      <c r="H967" t="s">
        <v>302</v>
      </c>
      <c r="I967" t="s">
        <v>303</v>
      </c>
      <c r="J967" t="s">
        <v>539</v>
      </c>
    </row>
    <row r="968" spans="1:10">
      <c r="A968" t="s">
        <v>1311</v>
      </c>
      <c r="B968" t="b">
        <v>0</v>
      </c>
      <c r="H968" t="s">
        <v>302</v>
      </c>
      <c r="I968" t="s">
        <v>303</v>
      </c>
      <c r="J968" t="s">
        <v>539</v>
      </c>
    </row>
    <row r="969" spans="1:10">
      <c r="A969" t="s">
        <v>1312</v>
      </c>
      <c r="B969" t="b">
        <v>0</v>
      </c>
      <c r="H969" t="s">
        <v>302</v>
      </c>
      <c r="I969" t="s">
        <v>303</v>
      </c>
      <c r="J969" t="s">
        <v>539</v>
      </c>
    </row>
    <row r="970" spans="1:10">
      <c r="A970" t="s">
        <v>1313</v>
      </c>
      <c r="B970" t="b">
        <v>0</v>
      </c>
      <c r="H970" t="s">
        <v>302</v>
      </c>
      <c r="I970" t="s">
        <v>303</v>
      </c>
      <c r="J970" t="s">
        <v>539</v>
      </c>
    </row>
    <row r="971" spans="1:10">
      <c r="A971" t="s">
        <v>1314</v>
      </c>
      <c r="B971" t="b">
        <v>0</v>
      </c>
      <c r="H971" t="s">
        <v>302</v>
      </c>
      <c r="I971" t="s">
        <v>303</v>
      </c>
      <c r="J971" t="s">
        <v>539</v>
      </c>
    </row>
    <row r="972" spans="1:10">
      <c r="A972" t="s">
        <v>1315</v>
      </c>
      <c r="B972" t="b">
        <v>0</v>
      </c>
      <c r="H972" t="s">
        <v>302</v>
      </c>
      <c r="I972" t="s">
        <v>303</v>
      </c>
      <c r="J972" t="s">
        <v>539</v>
      </c>
    </row>
    <row r="973" spans="1:10">
      <c r="A973" t="s">
        <v>1316</v>
      </c>
      <c r="B973" t="b">
        <v>0</v>
      </c>
      <c r="H973" t="s">
        <v>302</v>
      </c>
      <c r="I973" t="s">
        <v>303</v>
      </c>
      <c r="J973" t="s">
        <v>539</v>
      </c>
    </row>
    <row r="974" spans="1:10">
      <c r="A974" t="s">
        <v>1317</v>
      </c>
      <c r="B974" t="b">
        <v>0</v>
      </c>
      <c r="H974" t="s">
        <v>302</v>
      </c>
      <c r="I974" t="s">
        <v>303</v>
      </c>
      <c r="J974" t="s">
        <v>539</v>
      </c>
    </row>
    <row r="975" spans="1:10">
      <c r="A975" t="s">
        <v>1318</v>
      </c>
      <c r="B975" t="b">
        <v>0</v>
      </c>
      <c r="H975" t="s">
        <v>302</v>
      </c>
      <c r="I975" t="s">
        <v>303</v>
      </c>
      <c r="J975" t="s">
        <v>539</v>
      </c>
    </row>
    <row r="976" spans="1:10">
      <c r="A976" t="s">
        <v>1319</v>
      </c>
      <c r="B976" t="b">
        <v>0</v>
      </c>
      <c r="H976" t="s">
        <v>302</v>
      </c>
      <c r="I976" t="s">
        <v>303</v>
      </c>
      <c r="J976" t="s">
        <v>539</v>
      </c>
    </row>
    <row r="977" spans="1:10">
      <c r="A977" t="s">
        <v>1320</v>
      </c>
      <c r="B977" t="b">
        <v>0</v>
      </c>
      <c r="H977" t="s">
        <v>302</v>
      </c>
      <c r="I977" t="s">
        <v>303</v>
      </c>
      <c r="J977" t="s">
        <v>539</v>
      </c>
    </row>
    <row r="978" spans="1:10">
      <c r="A978" t="s">
        <v>1321</v>
      </c>
      <c r="B978" t="b">
        <v>0</v>
      </c>
      <c r="H978" t="s">
        <v>302</v>
      </c>
      <c r="I978" t="s">
        <v>303</v>
      </c>
      <c r="J978" t="s">
        <v>539</v>
      </c>
    </row>
    <row r="979" spans="1:10">
      <c r="A979" t="s">
        <v>1322</v>
      </c>
      <c r="B979" t="b">
        <v>0</v>
      </c>
      <c r="H979" t="s">
        <v>302</v>
      </c>
      <c r="I979" t="s">
        <v>303</v>
      </c>
      <c r="J979" t="s">
        <v>610</v>
      </c>
    </row>
    <row r="980" spans="1:10">
      <c r="A980" t="s">
        <v>1323</v>
      </c>
      <c r="B980" t="b">
        <v>0</v>
      </c>
      <c r="H980" t="s">
        <v>302</v>
      </c>
      <c r="I980" t="s">
        <v>303</v>
      </c>
      <c r="J980" t="s">
        <v>610</v>
      </c>
    </row>
    <row r="981" spans="1:10">
      <c r="A981" t="s">
        <v>1324</v>
      </c>
      <c r="B981" t="b">
        <v>0</v>
      </c>
      <c r="C981" t="s">
        <v>340</v>
      </c>
      <c r="D981" t="s">
        <v>340</v>
      </c>
      <c r="E981" t="s">
        <v>340</v>
      </c>
      <c r="H981" t="s">
        <v>302</v>
      </c>
      <c r="I981" t="s">
        <v>303</v>
      </c>
      <c r="J981" t="s">
        <v>610</v>
      </c>
    </row>
    <row r="982" spans="1:10">
      <c r="A982" t="s">
        <v>1325</v>
      </c>
      <c r="B982" t="b">
        <v>0</v>
      </c>
      <c r="C982" t="s">
        <v>330</v>
      </c>
      <c r="D982" t="s">
        <v>330</v>
      </c>
      <c r="E982" t="s">
        <v>330</v>
      </c>
      <c r="H982" t="s">
        <v>302</v>
      </c>
      <c r="I982" t="s">
        <v>303</v>
      </c>
      <c r="J982" t="s">
        <v>610</v>
      </c>
    </row>
    <row r="983" spans="1:10">
      <c r="A983" t="s">
        <v>1326</v>
      </c>
      <c r="B983" t="b">
        <v>0</v>
      </c>
      <c r="H983" t="s">
        <v>302</v>
      </c>
      <c r="I983" t="s">
        <v>303</v>
      </c>
      <c r="J983" t="s">
        <v>610</v>
      </c>
    </row>
    <row r="984" spans="1:10">
      <c r="A984" t="s">
        <v>1327</v>
      </c>
      <c r="B984" t="b">
        <v>0</v>
      </c>
      <c r="C984" t="s">
        <v>301</v>
      </c>
      <c r="D984" t="s">
        <v>301</v>
      </c>
      <c r="E984" t="s">
        <v>301</v>
      </c>
      <c r="H984" t="s">
        <v>302</v>
      </c>
      <c r="I984" t="s">
        <v>303</v>
      </c>
      <c r="J984" t="s">
        <v>610</v>
      </c>
    </row>
    <row r="985" spans="1:10">
      <c r="A985" t="s">
        <v>1328</v>
      </c>
      <c r="B985" t="b">
        <v>0</v>
      </c>
      <c r="C985" t="s">
        <v>330</v>
      </c>
      <c r="D985" t="s">
        <v>322</v>
      </c>
      <c r="E985" t="s">
        <v>323</v>
      </c>
      <c r="H985" t="s">
        <v>302</v>
      </c>
      <c r="I985" t="s">
        <v>303</v>
      </c>
      <c r="J985" t="s">
        <v>610</v>
      </c>
    </row>
    <row r="986" spans="1:10">
      <c r="A986" t="s">
        <v>1329</v>
      </c>
      <c r="B986" t="b">
        <v>0</v>
      </c>
      <c r="C986" t="s">
        <v>301</v>
      </c>
      <c r="D986" t="s">
        <v>322</v>
      </c>
      <c r="E986" t="s">
        <v>301</v>
      </c>
      <c r="H986" t="s">
        <v>302</v>
      </c>
      <c r="I986" t="s">
        <v>303</v>
      </c>
      <c r="J986" t="s">
        <v>610</v>
      </c>
    </row>
    <row r="987" spans="1:10">
      <c r="A987" t="s">
        <v>1330</v>
      </c>
      <c r="B987" t="b">
        <v>0</v>
      </c>
      <c r="C987" t="s">
        <v>301</v>
      </c>
      <c r="D987" t="s">
        <v>322</v>
      </c>
      <c r="E987" t="s">
        <v>301</v>
      </c>
      <c r="H987" t="s">
        <v>302</v>
      </c>
      <c r="I987" t="s">
        <v>303</v>
      </c>
      <c r="J987" t="s">
        <v>610</v>
      </c>
    </row>
    <row r="988" spans="1:10">
      <c r="A988" t="s">
        <v>1331</v>
      </c>
      <c r="B988" t="b">
        <v>0</v>
      </c>
      <c r="C988" t="s">
        <v>330</v>
      </c>
      <c r="D988" t="s">
        <v>322</v>
      </c>
      <c r="E988" t="s">
        <v>323</v>
      </c>
      <c r="H988" t="s">
        <v>302</v>
      </c>
      <c r="I988" t="s">
        <v>303</v>
      </c>
      <c r="J988" t="s">
        <v>610</v>
      </c>
    </row>
    <row r="989" spans="1:10">
      <c r="A989" t="s">
        <v>1332</v>
      </c>
      <c r="B989" t="b">
        <v>0</v>
      </c>
      <c r="H989" t="s">
        <v>302</v>
      </c>
      <c r="I989" t="s">
        <v>303</v>
      </c>
      <c r="J989" t="s">
        <v>304</v>
      </c>
    </row>
    <row r="990" spans="1:10">
      <c r="A990" t="s">
        <v>1333</v>
      </c>
      <c r="B990" t="b">
        <v>0</v>
      </c>
      <c r="H990" t="s">
        <v>302</v>
      </c>
      <c r="I990" t="s">
        <v>303</v>
      </c>
      <c r="J990" t="s">
        <v>304</v>
      </c>
    </row>
    <row r="991" spans="1:10">
      <c r="A991" t="s">
        <v>1334</v>
      </c>
      <c r="B991" t="b">
        <v>0</v>
      </c>
      <c r="H991" t="s">
        <v>302</v>
      </c>
      <c r="I991" t="s">
        <v>303</v>
      </c>
      <c r="J991" t="s">
        <v>304</v>
      </c>
    </row>
    <row r="992" spans="1:10">
      <c r="A992" t="s">
        <v>1335</v>
      </c>
      <c r="B992" t="b">
        <v>0</v>
      </c>
      <c r="H992" t="s">
        <v>302</v>
      </c>
      <c r="I992" t="s">
        <v>303</v>
      </c>
      <c r="J992" t="s">
        <v>304</v>
      </c>
    </row>
    <row r="993" spans="1:10">
      <c r="A993" t="s">
        <v>1336</v>
      </c>
      <c r="B993" t="b">
        <v>0</v>
      </c>
      <c r="H993" t="s">
        <v>302</v>
      </c>
      <c r="I993" t="s">
        <v>303</v>
      </c>
      <c r="J993" t="s">
        <v>304</v>
      </c>
    </row>
    <row r="994" spans="1:10">
      <c r="A994" t="s">
        <v>1337</v>
      </c>
      <c r="B994" t="b">
        <v>0</v>
      </c>
      <c r="H994" t="s">
        <v>302</v>
      </c>
      <c r="I994" t="s">
        <v>303</v>
      </c>
      <c r="J994" t="s">
        <v>304</v>
      </c>
    </row>
    <row r="995" spans="1:10">
      <c r="A995" t="s">
        <v>1338</v>
      </c>
      <c r="B995" t="b">
        <v>0</v>
      </c>
      <c r="H995" t="s">
        <v>302</v>
      </c>
      <c r="I995" t="s">
        <v>303</v>
      </c>
      <c r="J995" t="s">
        <v>304</v>
      </c>
    </row>
    <row r="996" spans="1:10">
      <c r="A996" t="s">
        <v>1339</v>
      </c>
      <c r="B996" t="b">
        <v>0</v>
      </c>
      <c r="H996" t="s">
        <v>302</v>
      </c>
      <c r="I996" t="s">
        <v>303</v>
      </c>
      <c r="J996" t="s">
        <v>304</v>
      </c>
    </row>
    <row r="997" spans="1:10">
      <c r="A997" t="s">
        <v>1340</v>
      </c>
      <c r="B997" t="b">
        <v>0</v>
      </c>
      <c r="H997" t="s">
        <v>302</v>
      </c>
      <c r="I997" t="s">
        <v>303</v>
      </c>
      <c r="J997" t="s">
        <v>304</v>
      </c>
    </row>
    <row r="998" spans="1:10">
      <c r="A998" t="s">
        <v>1341</v>
      </c>
      <c r="B998" t="b">
        <v>0</v>
      </c>
      <c r="H998" t="s">
        <v>302</v>
      </c>
      <c r="I998" t="s">
        <v>303</v>
      </c>
      <c r="J998" t="s">
        <v>304</v>
      </c>
    </row>
    <row r="999" spans="1:10">
      <c r="A999" t="s">
        <v>1342</v>
      </c>
      <c r="B999" t="b">
        <v>0</v>
      </c>
      <c r="H999" t="s">
        <v>302</v>
      </c>
      <c r="I999" t="s">
        <v>303</v>
      </c>
      <c r="J999" t="s">
        <v>304</v>
      </c>
    </row>
    <row r="1000" spans="1:10">
      <c r="A1000" t="s">
        <v>1343</v>
      </c>
      <c r="B1000" t="b">
        <v>0</v>
      </c>
      <c r="H1000" t="s">
        <v>302</v>
      </c>
      <c r="I1000" t="s">
        <v>303</v>
      </c>
      <c r="J1000" t="s">
        <v>304</v>
      </c>
    </row>
    <row r="1001" spans="1:10">
      <c r="A1001" t="s">
        <v>1344</v>
      </c>
      <c r="B1001" t="b">
        <v>0</v>
      </c>
      <c r="H1001" t="s">
        <v>302</v>
      </c>
      <c r="I1001" t="s">
        <v>303</v>
      </c>
      <c r="J1001" t="s">
        <v>304</v>
      </c>
    </row>
    <row r="1002" spans="1:10">
      <c r="A1002" t="s">
        <v>1345</v>
      </c>
      <c r="B1002" t="b">
        <v>0</v>
      </c>
      <c r="H1002" t="s">
        <v>302</v>
      </c>
      <c r="I1002" t="s">
        <v>303</v>
      </c>
      <c r="J1002" t="s">
        <v>304</v>
      </c>
    </row>
    <row r="1003" spans="1:10">
      <c r="A1003" t="s">
        <v>1346</v>
      </c>
      <c r="B1003" t="b">
        <v>0</v>
      </c>
      <c r="H1003" t="s">
        <v>302</v>
      </c>
      <c r="I1003" t="s">
        <v>303</v>
      </c>
      <c r="J1003" t="s">
        <v>304</v>
      </c>
    </row>
    <row r="1004" spans="1:10">
      <c r="A1004" t="s">
        <v>1347</v>
      </c>
      <c r="B1004" t="b">
        <v>0</v>
      </c>
      <c r="H1004" t="s">
        <v>302</v>
      </c>
      <c r="I1004" t="s">
        <v>303</v>
      </c>
      <c r="J1004" t="s">
        <v>304</v>
      </c>
    </row>
    <row r="1005" spans="1:10">
      <c r="A1005" t="s">
        <v>1348</v>
      </c>
      <c r="B1005" t="b">
        <v>0</v>
      </c>
      <c r="H1005" t="s">
        <v>302</v>
      </c>
      <c r="I1005" t="s">
        <v>303</v>
      </c>
      <c r="J1005" t="s">
        <v>304</v>
      </c>
    </row>
    <row r="1006" spans="1:10">
      <c r="A1006" t="s">
        <v>1349</v>
      </c>
      <c r="B1006" t="b">
        <v>0</v>
      </c>
      <c r="H1006" t="s">
        <v>302</v>
      </c>
      <c r="I1006" t="s">
        <v>303</v>
      </c>
      <c r="J1006" t="s">
        <v>539</v>
      </c>
    </row>
    <row r="1007" spans="1:10">
      <c r="A1007" t="s">
        <v>1350</v>
      </c>
      <c r="B1007" t="b">
        <v>0</v>
      </c>
      <c r="H1007" t="s">
        <v>302</v>
      </c>
      <c r="I1007" t="s">
        <v>303</v>
      </c>
      <c r="J1007" t="s">
        <v>539</v>
      </c>
    </row>
    <row r="1008" spans="1:10">
      <c r="A1008" t="s">
        <v>1351</v>
      </c>
      <c r="B1008" t="b">
        <v>0</v>
      </c>
      <c r="H1008" t="s">
        <v>302</v>
      </c>
      <c r="I1008" t="s">
        <v>303</v>
      </c>
      <c r="J1008" t="s">
        <v>539</v>
      </c>
    </row>
    <row r="1009" spans="1:10">
      <c r="A1009" t="s">
        <v>1352</v>
      </c>
      <c r="B1009" t="b">
        <v>0</v>
      </c>
      <c r="H1009" t="s">
        <v>302</v>
      </c>
      <c r="I1009" t="s">
        <v>303</v>
      </c>
      <c r="J1009" t="s">
        <v>539</v>
      </c>
    </row>
    <row r="1010" spans="1:10">
      <c r="A1010" t="s">
        <v>1353</v>
      </c>
      <c r="B1010" t="b">
        <v>0</v>
      </c>
      <c r="H1010" t="s">
        <v>302</v>
      </c>
      <c r="I1010" t="s">
        <v>303</v>
      </c>
      <c r="J1010" t="s">
        <v>539</v>
      </c>
    </row>
    <row r="1011" spans="1:10">
      <c r="A1011" t="s">
        <v>1354</v>
      </c>
      <c r="B1011" t="b">
        <v>0</v>
      </c>
      <c r="H1011" t="s">
        <v>302</v>
      </c>
      <c r="I1011" t="s">
        <v>303</v>
      </c>
      <c r="J1011" t="s">
        <v>539</v>
      </c>
    </row>
    <row r="1012" spans="1:10">
      <c r="A1012" t="s">
        <v>1355</v>
      </c>
      <c r="B1012" t="b">
        <v>0</v>
      </c>
      <c r="H1012" t="s">
        <v>302</v>
      </c>
      <c r="I1012" t="s">
        <v>303</v>
      </c>
      <c r="J1012" t="s">
        <v>539</v>
      </c>
    </row>
    <row r="1013" spans="1:10">
      <c r="A1013" t="s">
        <v>1356</v>
      </c>
      <c r="B1013" t="b">
        <v>0</v>
      </c>
      <c r="H1013" t="s">
        <v>302</v>
      </c>
      <c r="I1013" t="s">
        <v>303</v>
      </c>
      <c r="J1013" t="s">
        <v>539</v>
      </c>
    </row>
    <row r="1014" spans="1:10">
      <c r="A1014" t="s">
        <v>1357</v>
      </c>
      <c r="B1014" t="b">
        <v>0</v>
      </c>
      <c r="H1014" t="s">
        <v>302</v>
      </c>
      <c r="I1014" t="s">
        <v>303</v>
      </c>
      <c r="J1014" t="s">
        <v>539</v>
      </c>
    </row>
    <row r="1015" spans="1:10">
      <c r="A1015" t="s">
        <v>1358</v>
      </c>
      <c r="B1015" t="b">
        <v>0</v>
      </c>
      <c r="H1015" t="s">
        <v>302</v>
      </c>
      <c r="I1015" t="s">
        <v>303</v>
      </c>
      <c r="J1015" t="s">
        <v>518</v>
      </c>
    </row>
    <row r="1016" spans="1:10">
      <c r="A1016" t="s">
        <v>1359</v>
      </c>
      <c r="B1016" t="b">
        <v>0</v>
      </c>
      <c r="C1016" t="s">
        <v>301</v>
      </c>
      <c r="D1016" t="s">
        <v>301</v>
      </c>
      <c r="E1016" t="s">
        <v>301</v>
      </c>
      <c r="H1016" t="s">
        <v>302</v>
      </c>
      <c r="I1016" t="s">
        <v>303</v>
      </c>
      <c r="J1016" t="s">
        <v>518</v>
      </c>
    </row>
    <row r="1017" spans="1:10">
      <c r="A1017" t="s">
        <v>1360</v>
      </c>
      <c r="B1017" t="b">
        <v>0</v>
      </c>
      <c r="H1017" t="s">
        <v>302</v>
      </c>
      <c r="I1017" t="s">
        <v>303</v>
      </c>
      <c r="J1017" t="s">
        <v>518</v>
      </c>
    </row>
    <row r="1018" spans="1:10">
      <c r="A1018" t="s">
        <v>1361</v>
      </c>
      <c r="B1018" t="b">
        <v>0</v>
      </c>
      <c r="H1018" t="s">
        <v>302</v>
      </c>
      <c r="I1018" t="s">
        <v>303</v>
      </c>
      <c r="J1018" t="s">
        <v>518</v>
      </c>
    </row>
    <row r="1019" spans="1:10">
      <c r="A1019" t="s">
        <v>1362</v>
      </c>
      <c r="B1019" t="b">
        <v>0</v>
      </c>
      <c r="H1019" t="s">
        <v>302</v>
      </c>
      <c r="I1019" t="s">
        <v>303</v>
      </c>
      <c r="J1019" t="s">
        <v>518</v>
      </c>
    </row>
    <row r="1020" spans="1:10">
      <c r="A1020" t="s">
        <v>1363</v>
      </c>
      <c r="B1020" t="b">
        <v>0</v>
      </c>
      <c r="C1020" t="s">
        <v>301</v>
      </c>
      <c r="D1020" t="s">
        <v>301</v>
      </c>
      <c r="E1020" t="s">
        <v>301</v>
      </c>
      <c r="H1020" t="s">
        <v>302</v>
      </c>
      <c r="I1020" t="s">
        <v>303</v>
      </c>
      <c r="J1020" t="s">
        <v>518</v>
      </c>
    </row>
    <row r="1021" spans="1:10">
      <c r="A1021" t="s">
        <v>1364</v>
      </c>
      <c r="B1021" t="b">
        <v>0</v>
      </c>
      <c r="H1021" t="s">
        <v>302</v>
      </c>
      <c r="I1021" t="s">
        <v>303</v>
      </c>
      <c r="J1021" t="s">
        <v>518</v>
      </c>
    </row>
    <row r="1022" spans="1:10">
      <c r="A1022" t="s">
        <v>1365</v>
      </c>
      <c r="B1022" t="b">
        <v>0</v>
      </c>
      <c r="H1022" t="s">
        <v>302</v>
      </c>
      <c r="I1022" t="s">
        <v>303</v>
      </c>
      <c r="J1022" t="s">
        <v>518</v>
      </c>
    </row>
    <row r="1023" spans="1:10">
      <c r="A1023" t="s">
        <v>1366</v>
      </c>
      <c r="B1023" t="b">
        <v>0</v>
      </c>
      <c r="C1023" t="s">
        <v>340</v>
      </c>
      <c r="D1023" t="s">
        <v>340</v>
      </c>
      <c r="E1023" t="s">
        <v>340</v>
      </c>
      <c r="H1023" t="s">
        <v>302</v>
      </c>
      <c r="I1023" t="s">
        <v>303</v>
      </c>
      <c r="J1023" t="s">
        <v>518</v>
      </c>
    </row>
    <row r="1024" spans="1:10">
      <c r="A1024" t="s">
        <v>1367</v>
      </c>
      <c r="B1024" t="b">
        <v>0</v>
      </c>
      <c r="H1024" t="s">
        <v>302</v>
      </c>
      <c r="I1024" t="s">
        <v>303</v>
      </c>
      <c r="J1024" t="s">
        <v>518</v>
      </c>
    </row>
    <row r="1025" spans="1:11">
      <c r="A1025" t="s">
        <v>1368</v>
      </c>
      <c r="B1025" t="b">
        <v>0</v>
      </c>
      <c r="H1025" t="s">
        <v>302</v>
      </c>
      <c r="I1025" t="s">
        <v>303</v>
      </c>
      <c r="J1025" t="s">
        <v>518</v>
      </c>
    </row>
    <row r="1026" spans="1:11">
      <c r="A1026" t="s">
        <v>1369</v>
      </c>
      <c r="B1026" t="b">
        <v>0</v>
      </c>
      <c r="H1026" t="s">
        <v>302</v>
      </c>
      <c r="I1026" t="s">
        <v>303</v>
      </c>
      <c r="J1026" t="s">
        <v>518</v>
      </c>
    </row>
    <row r="1027" spans="1:11">
      <c r="A1027" t="s">
        <v>1370</v>
      </c>
      <c r="B1027" t="b">
        <v>0</v>
      </c>
      <c r="H1027" t="s">
        <v>302</v>
      </c>
      <c r="I1027" t="s">
        <v>303</v>
      </c>
      <c r="J1027" t="s">
        <v>518</v>
      </c>
    </row>
    <row r="1028" spans="1:11">
      <c r="A1028" t="s">
        <v>1371</v>
      </c>
      <c r="B1028" t="b">
        <v>0</v>
      </c>
      <c r="H1028" t="s">
        <v>302</v>
      </c>
      <c r="I1028" t="s">
        <v>303</v>
      </c>
      <c r="J1028" t="s">
        <v>411</v>
      </c>
      <c r="K1028">
        <v>3000</v>
      </c>
    </row>
    <row r="1029" spans="1:11">
      <c r="A1029" t="s">
        <v>1372</v>
      </c>
      <c r="B1029" t="b">
        <v>0</v>
      </c>
      <c r="H1029" t="s">
        <v>302</v>
      </c>
      <c r="I1029" t="s">
        <v>303</v>
      </c>
      <c r="J1029" t="s">
        <v>411</v>
      </c>
      <c r="K1029">
        <v>3000</v>
      </c>
    </row>
    <row r="1030" spans="1:11">
      <c r="A1030" t="s">
        <v>1373</v>
      </c>
      <c r="B1030" t="b">
        <v>0</v>
      </c>
      <c r="H1030" t="s">
        <v>302</v>
      </c>
      <c r="I1030" t="s">
        <v>303</v>
      </c>
      <c r="J1030" t="s">
        <v>411</v>
      </c>
      <c r="K1030">
        <v>3000</v>
      </c>
    </row>
    <row r="1031" spans="1:11">
      <c r="A1031" t="s">
        <v>1374</v>
      </c>
      <c r="B1031" t="b">
        <v>0</v>
      </c>
      <c r="H1031" t="s">
        <v>302</v>
      </c>
      <c r="I1031" t="s">
        <v>303</v>
      </c>
      <c r="J1031" t="s">
        <v>411</v>
      </c>
      <c r="K1031">
        <v>3000</v>
      </c>
    </row>
    <row r="1032" spans="1:11">
      <c r="A1032" t="s">
        <v>1375</v>
      </c>
      <c r="B1032" t="b">
        <v>0</v>
      </c>
      <c r="H1032" t="s">
        <v>302</v>
      </c>
      <c r="I1032" t="s">
        <v>303</v>
      </c>
      <c r="J1032" t="s">
        <v>411</v>
      </c>
      <c r="K1032">
        <v>3000</v>
      </c>
    </row>
    <row r="1033" spans="1:11">
      <c r="A1033" t="s">
        <v>1376</v>
      </c>
      <c r="B1033" t="b">
        <v>0</v>
      </c>
      <c r="H1033" t="s">
        <v>302</v>
      </c>
      <c r="I1033" t="s">
        <v>303</v>
      </c>
      <c r="J1033" t="s">
        <v>411</v>
      </c>
      <c r="K1033">
        <v>3000</v>
      </c>
    </row>
    <row r="1034" spans="1:11">
      <c r="A1034" t="s">
        <v>1377</v>
      </c>
      <c r="B1034" t="b">
        <v>0</v>
      </c>
      <c r="H1034" t="s">
        <v>302</v>
      </c>
      <c r="I1034" t="s">
        <v>303</v>
      </c>
      <c r="J1034" t="s">
        <v>411</v>
      </c>
      <c r="K1034">
        <v>3000</v>
      </c>
    </row>
    <row r="1035" spans="1:11">
      <c r="A1035" t="s">
        <v>1378</v>
      </c>
      <c r="B1035" t="b">
        <v>0</v>
      </c>
      <c r="H1035" t="s">
        <v>302</v>
      </c>
      <c r="I1035" t="s">
        <v>303</v>
      </c>
      <c r="J1035" t="s">
        <v>411</v>
      </c>
      <c r="K1035">
        <v>3000</v>
      </c>
    </row>
    <row r="1036" spans="1:11">
      <c r="A1036" t="s">
        <v>1379</v>
      </c>
      <c r="B1036" t="b">
        <v>0</v>
      </c>
      <c r="H1036" t="s">
        <v>302</v>
      </c>
      <c r="I1036" t="s">
        <v>303</v>
      </c>
      <c r="J1036" t="s">
        <v>411</v>
      </c>
      <c r="K1036">
        <v>3000</v>
      </c>
    </row>
    <row r="1037" spans="1:11">
      <c r="A1037" t="s">
        <v>1380</v>
      </c>
      <c r="B1037" t="b">
        <v>0</v>
      </c>
      <c r="H1037" t="s">
        <v>302</v>
      </c>
      <c r="I1037" t="s">
        <v>303</v>
      </c>
      <c r="J1037" t="s">
        <v>411</v>
      </c>
    </row>
    <row r="1038" spans="1:11">
      <c r="A1038" t="s">
        <v>1381</v>
      </c>
      <c r="B1038" t="b">
        <v>0</v>
      </c>
      <c r="H1038" t="s">
        <v>302</v>
      </c>
      <c r="I1038" t="s">
        <v>303</v>
      </c>
      <c r="J1038" t="s">
        <v>411</v>
      </c>
    </row>
    <row r="1039" spans="1:11">
      <c r="A1039" t="s">
        <v>1382</v>
      </c>
      <c r="B1039" t="b">
        <v>0</v>
      </c>
      <c r="H1039" t="s">
        <v>302</v>
      </c>
      <c r="I1039" t="s">
        <v>303</v>
      </c>
      <c r="J1039" t="s">
        <v>411</v>
      </c>
    </row>
    <row r="1040" spans="1:11">
      <c r="A1040" t="s">
        <v>1383</v>
      </c>
      <c r="B1040" t="b">
        <v>0</v>
      </c>
      <c r="H1040" t="s">
        <v>302</v>
      </c>
      <c r="I1040" t="s">
        <v>303</v>
      </c>
      <c r="J1040" t="s">
        <v>411</v>
      </c>
    </row>
    <row r="1041" spans="1:10">
      <c r="A1041" t="s">
        <v>1384</v>
      </c>
      <c r="B1041" t="b">
        <v>0</v>
      </c>
      <c r="H1041" t="s">
        <v>302</v>
      </c>
      <c r="I1041" t="s">
        <v>303</v>
      </c>
      <c r="J1041" t="s">
        <v>411</v>
      </c>
    </row>
    <row r="1042" spans="1:10">
      <c r="A1042" t="s">
        <v>1385</v>
      </c>
      <c r="B1042" t="b">
        <v>0</v>
      </c>
      <c r="H1042" t="s">
        <v>302</v>
      </c>
      <c r="I1042" t="s">
        <v>303</v>
      </c>
      <c r="J1042" t="s">
        <v>411</v>
      </c>
    </row>
    <row r="1043" spans="1:10">
      <c r="A1043" t="s">
        <v>1386</v>
      </c>
      <c r="B1043" t="b">
        <v>0</v>
      </c>
      <c r="H1043" t="s">
        <v>302</v>
      </c>
      <c r="I1043" t="s">
        <v>303</v>
      </c>
      <c r="J1043" t="s">
        <v>411</v>
      </c>
    </row>
    <row r="1044" spans="1:10">
      <c r="A1044" t="s">
        <v>1387</v>
      </c>
      <c r="B1044" t="b">
        <v>0</v>
      </c>
      <c r="H1044" t="s">
        <v>302</v>
      </c>
      <c r="I1044" t="s">
        <v>303</v>
      </c>
      <c r="J1044" t="s">
        <v>411</v>
      </c>
    </row>
    <row r="1045" spans="1:10">
      <c r="A1045" t="s">
        <v>1388</v>
      </c>
      <c r="B1045" t="b">
        <v>0</v>
      </c>
      <c r="H1045" t="s">
        <v>302</v>
      </c>
      <c r="I1045" t="s">
        <v>303</v>
      </c>
      <c r="J1045" t="s">
        <v>411</v>
      </c>
    </row>
    <row r="1046" spans="1:10">
      <c r="A1046" t="s">
        <v>1389</v>
      </c>
      <c r="B1046" t="b">
        <v>0</v>
      </c>
      <c r="H1046" t="s">
        <v>302</v>
      </c>
      <c r="I1046" t="s">
        <v>300</v>
      </c>
      <c r="J1046" t="s">
        <v>539</v>
      </c>
    </row>
    <row r="1047" spans="1:10">
      <c r="A1047" t="s">
        <v>1390</v>
      </c>
      <c r="B1047" t="b">
        <v>0</v>
      </c>
      <c r="H1047" t="s">
        <v>302</v>
      </c>
      <c r="I1047" t="s">
        <v>300</v>
      </c>
      <c r="J1047" t="s">
        <v>539</v>
      </c>
    </row>
    <row r="1048" spans="1:10">
      <c r="A1048" t="s">
        <v>1391</v>
      </c>
      <c r="B1048" t="b">
        <v>0</v>
      </c>
      <c r="H1048" t="s">
        <v>302</v>
      </c>
      <c r="I1048" t="s">
        <v>300</v>
      </c>
      <c r="J1048" t="s">
        <v>539</v>
      </c>
    </row>
    <row r="1049" spans="1:10">
      <c r="A1049" t="s">
        <v>1392</v>
      </c>
      <c r="B1049" t="b">
        <v>0</v>
      </c>
      <c r="H1049" t="s">
        <v>302</v>
      </c>
      <c r="I1049" t="s">
        <v>300</v>
      </c>
      <c r="J1049" t="s">
        <v>539</v>
      </c>
    </row>
    <row r="1050" spans="1:10">
      <c r="A1050" t="s">
        <v>1393</v>
      </c>
      <c r="B1050" t="b">
        <v>0</v>
      </c>
      <c r="H1050" t="s">
        <v>302</v>
      </c>
      <c r="I1050" t="s">
        <v>300</v>
      </c>
      <c r="J1050" t="s">
        <v>539</v>
      </c>
    </row>
    <row r="1051" spans="1:10">
      <c r="A1051" t="s">
        <v>1394</v>
      </c>
      <c r="B1051" t="b">
        <v>0</v>
      </c>
      <c r="H1051" t="s">
        <v>302</v>
      </c>
      <c r="I1051" t="s">
        <v>300</v>
      </c>
      <c r="J1051" t="s">
        <v>539</v>
      </c>
    </row>
    <row r="1052" spans="1:10">
      <c r="A1052" t="s">
        <v>1395</v>
      </c>
      <c r="B1052" t="b">
        <v>0</v>
      </c>
      <c r="H1052" t="s">
        <v>302</v>
      </c>
      <c r="I1052" t="s">
        <v>300</v>
      </c>
      <c r="J1052" t="s">
        <v>539</v>
      </c>
    </row>
    <row r="1053" spans="1:10">
      <c r="A1053" t="s">
        <v>1396</v>
      </c>
      <c r="B1053" t="b">
        <v>0</v>
      </c>
      <c r="H1053" t="s">
        <v>302</v>
      </c>
      <c r="I1053" t="s">
        <v>300</v>
      </c>
      <c r="J1053" t="s">
        <v>539</v>
      </c>
    </row>
    <row r="1054" spans="1:10">
      <c r="A1054" t="s">
        <v>1397</v>
      </c>
      <c r="B1054" t="b">
        <v>0</v>
      </c>
      <c r="H1054" t="s">
        <v>302</v>
      </c>
      <c r="I1054" t="s">
        <v>300</v>
      </c>
      <c r="J1054" t="s">
        <v>539</v>
      </c>
    </row>
    <row r="1055" spans="1:10">
      <c r="A1055" t="s">
        <v>1398</v>
      </c>
      <c r="B1055" t="b">
        <v>0</v>
      </c>
      <c r="H1055" t="s">
        <v>302</v>
      </c>
      <c r="I1055" t="s">
        <v>300</v>
      </c>
      <c r="J1055" t="s">
        <v>539</v>
      </c>
    </row>
    <row r="1056" spans="1:10">
      <c r="A1056" t="s">
        <v>1399</v>
      </c>
      <c r="B1056" t="b">
        <v>0</v>
      </c>
      <c r="H1056" t="s">
        <v>302</v>
      </c>
      <c r="I1056" t="s">
        <v>300</v>
      </c>
      <c r="J1056" t="s">
        <v>539</v>
      </c>
    </row>
    <row r="1057" spans="1:11">
      <c r="A1057" t="s">
        <v>1400</v>
      </c>
      <c r="B1057" t="b">
        <v>0</v>
      </c>
      <c r="H1057" t="s">
        <v>302</v>
      </c>
      <c r="I1057" t="s">
        <v>300</v>
      </c>
      <c r="J1057" t="s">
        <v>539</v>
      </c>
    </row>
    <row r="1058" spans="1:11">
      <c r="A1058" t="s">
        <v>1401</v>
      </c>
      <c r="B1058" t="b">
        <v>0</v>
      </c>
      <c r="H1058" t="s">
        <v>302</v>
      </c>
      <c r="I1058" t="s">
        <v>300</v>
      </c>
      <c r="J1058" t="s">
        <v>539</v>
      </c>
    </row>
    <row r="1059" spans="1:11">
      <c r="A1059" t="s">
        <v>1402</v>
      </c>
      <c r="B1059" t="b">
        <v>0</v>
      </c>
      <c r="H1059" t="s">
        <v>302</v>
      </c>
      <c r="I1059" t="s">
        <v>300</v>
      </c>
      <c r="J1059" t="s">
        <v>539</v>
      </c>
    </row>
    <row r="1060" spans="1:11">
      <c r="A1060" t="s">
        <v>1403</v>
      </c>
      <c r="B1060" t="b">
        <v>0</v>
      </c>
      <c r="H1060" t="s">
        <v>302</v>
      </c>
      <c r="I1060" t="s">
        <v>300</v>
      </c>
      <c r="J1060" t="s">
        <v>539</v>
      </c>
    </row>
    <row r="1061" spans="1:11">
      <c r="A1061" t="s">
        <v>1404</v>
      </c>
      <c r="B1061" t="b">
        <v>0</v>
      </c>
      <c r="C1061" t="s">
        <v>301</v>
      </c>
      <c r="D1061" t="s">
        <v>322</v>
      </c>
      <c r="E1061" t="s">
        <v>323</v>
      </c>
      <c r="H1061" t="s">
        <v>301</v>
      </c>
      <c r="I1061" t="s">
        <v>300</v>
      </c>
      <c r="J1061" t="s">
        <v>584</v>
      </c>
      <c r="K1061">
        <v>3000</v>
      </c>
    </row>
    <row r="1062" spans="1:11">
      <c r="A1062" t="s">
        <v>1405</v>
      </c>
      <c r="B1062" t="b">
        <v>0</v>
      </c>
      <c r="C1062" t="s">
        <v>301</v>
      </c>
      <c r="D1062" t="s">
        <v>322</v>
      </c>
      <c r="E1062" t="s">
        <v>323</v>
      </c>
      <c r="H1062" t="s">
        <v>301</v>
      </c>
      <c r="I1062" t="s">
        <v>300</v>
      </c>
      <c r="J1062" t="s">
        <v>584</v>
      </c>
      <c r="K1062">
        <v>3000</v>
      </c>
    </row>
    <row r="1063" spans="1:11">
      <c r="A1063" t="s">
        <v>1406</v>
      </c>
      <c r="B1063" t="b">
        <v>0</v>
      </c>
      <c r="C1063" t="s">
        <v>301</v>
      </c>
      <c r="D1063" t="s">
        <v>322</v>
      </c>
      <c r="E1063" t="s">
        <v>323</v>
      </c>
      <c r="H1063" t="s">
        <v>301</v>
      </c>
      <c r="I1063" t="s">
        <v>300</v>
      </c>
      <c r="J1063" t="s">
        <v>584</v>
      </c>
      <c r="K1063">
        <v>3000</v>
      </c>
    </row>
    <row r="1064" spans="1:11">
      <c r="A1064" t="s">
        <v>1407</v>
      </c>
      <c r="B1064" t="b">
        <v>0</v>
      </c>
      <c r="C1064" t="s">
        <v>301</v>
      </c>
      <c r="D1064" t="s">
        <v>322</v>
      </c>
      <c r="E1064" t="s">
        <v>323</v>
      </c>
      <c r="H1064" t="s">
        <v>301</v>
      </c>
      <c r="I1064" t="s">
        <v>300</v>
      </c>
      <c r="J1064" t="s">
        <v>584</v>
      </c>
      <c r="K1064">
        <v>3000</v>
      </c>
    </row>
    <row r="1065" spans="1:11">
      <c r="A1065" t="s">
        <v>1408</v>
      </c>
      <c r="B1065" t="b">
        <v>0</v>
      </c>
      <c r="C1065" t="s">
        <v>301</v>
      </c>
      <c r="D1065" t="s">
        <v>322</v>
      </c>
      <c r="E1065" t="s">
        <v>323</v>
      </c>
      <c r="H1065" t="s">
        <v>301</v>
      </c>
      <c r="I1065" t="s">
        <v>300</v>
      </c>
      <c r="J1065" t="s">
        <v>584</v>
      </c>
      <c r="K1065">
        <v>3000</v>
      </c>
    </row>
    <row r="1066" spans="1:11">
      <c r="A1066" t="s">
        <v>1409</v>
      </c>
      <c r="B1066" t="b">
        <v>0</v>
      </c>
      <c r="C1066" t="s">
        <v>301</v>
      </c>
      <c r="D1066" t="s">
        <v>322</v>
      </c>
      <c r="E1066" t="s">
        <v>323</v>
      </c>
      <c r="H1066" t="s">
        <v>301</v>
      </c>
      <c r="I1066" t="s">
        <v>300</v>
      </c>
      <c r="J1066" t="s">
        <v>584</v>
      </c>
      <c r="K1066">
        <v>3000</v>
      </c>
    </row>
    <row r="1067" spans="1:11">
      <c r="A1067" t="s">
        <v>1410</v>
      </c>
      <c r="B1067" t="b">
        <v>0</v>
      </c>
      <c r="C1067" t="s">
        <v>340</v>
      </c>
      <c r="D1067" t="s">
        <v>340</v>
      </c>
      <c r="E1067" t="s">
        <v>340</v>
      </c>
      <c r="H1067" t="s">
        <v>340</v>
      </c>
      <c r="I1067" t="s">
        <v>300</v>
      </c>
      <c r="J1067" t="s">
        <v>584</v>
      </c>
      <c r="K1067">
        <v>3000</v>
      </c>
    </row>
    <row r="1068" spans="1:11">
      <c r="A1068" t="s">
        <v>1411</v>
      </c>
      <c r="B1068" t="b">
        <v>0</v>
      </c>
      <c r="C1068" t="s">
        <v>301</v>
      </c>
      <c r="D1068" t="s">
        <v>301</v>
      </c>
      <c r="E1068" t="s">
        <v>301</v>
      </c>
      <c r="H1068" t="s">
        <v>301</v>
      </c>
      <c r="I1068" t="s">
        <v>300</v>
      </c>
      <c r="J1068" t="s">
        <v>584</v>
      </c>
      <c r="K1068">
        <v>3000</v>
      </c>
    </row>
    <row r="1069" spans="1:11">
      <c r="A1069" t="s">
        <v>1412</v>
      </c>
      <c r="B1069" t="b">
        <v>0</v>
      </c>
      <c r="C1069" t="s">
        <v>301</v>
      </c>
      <c r="D1069" t="s">
        <v>322</v>
      </c>
      <c r="E1069" t="s">
        <v>323</v>
      </c>
      <c r="H1069" t="s">
        <v>301</v>
      </c>
      <c r="I1069" t="s">
        <v>300</v>
      </c>
      <c r="J1069" t="s">
        <v>584</v>
      </c>
      <c r="K1069">
        <v>3000</v>
      </c>
    </row>
    <row r="1070" spans="1:11">
      <c r="A1070" t="s">
        <v>1413</v>
      </c>
      <c r="B1070" t="b">
        <v>0</v>
      </c>
      <c r="C1070" t="s">
        <v>301</v>
      </c>
      <c r="D1070" t="s">
        <v>322</v>
      </c>
      <c r="E1070" t="s">
        <v>323</v>
      </c>
      <c r="H1070" t="s">
        <v>301</v>
      </c>
      <c r="I1070" t="s">
        <v>300</v>
      </c>
      <c r="J1070" t="s">
        <v>584</v>
      </c>
      <c r="K1070">
        <v>3000</v>
      </c>
    </row>
    <row r="1071" spans="1:11">
      <c r="A1071" t="s">
        <v>1414</v>
      </c>
      <c r="B1071" t="b">
        <v>0</v>
      </c>
      <c r="C1071" t="s">
        <v>301</v>
      </c>
      <c r="D1071" t="s">
        <v>322</v>
      </c>
      <c r="E1071" t="s">
        <v>323</v>
      </c>
      <c r="H1071" t="s">
        <v>301</v>
      </c>
      <c r="I1071" t="s">
        <v>300</v>
      </c>
      <c r="J1071" t="s">
        <v>584</v>
      </c>
      <c r="K1071">
        <v>3000</v>
      </c>
    </row>
    <row r="1072" spans="1:11">
      <c r="A1072" t="s">
        <v>1415</v>
      </c>
      <c r="B1072" t="b">
        <v>0</v>
      </c>
      <c r="C1072" t="s">
        <v>340</v>
      </c>
      <c r="D1072" t="s">
        <v>340</v>
      </c>
      <c r="E1072" t="s">
        <v>340</v>
      </c>
      <c r="H1072" t="s">
        <v>340</v>
      </c>
      <c r="I1072" t="s">
        <v>300</v>
      </c>
      <c r="J1072" t="s">
        <v>584</v>
      </c>
      <c r="K1072">
        <v>3000</v>
      </c>
    </row>
    <row r="1073" spans="1:11">
      <c r="A1073" t="s">
        <v>1416</v>
      </c>
      <c r="B1073" t="b">
        <v>0</v>
      </c>
      <c r="H1073" t="s">
        <v>302</v>
      </c>
      <c r="I1073" t="s">
        <v>300</v>
      </c>
      <c r="J1073" t="s">
        <v>584</v>
      </c>
      <c r="K1073">
        <v>3000</v>
      </c>
    </row>
    <row r="1074" spans="1:11">
      <c r="A1074" t="s">
        <v>1417</v>
      </c>
      <c r="B1074" t="b">
        <v>0</v>
      </c>
      <c r="C1074" t="s">
        <v>301</v>
      </c>
      <c r="D1074" t="s">
        <v>301</v>
      </c>
      <c r="E1074" t="s">
        <v>301</v>
      </c>
      <c r="H1074" t="s">
        <v>301</v>
      </c>
      <c r="I1074" t="s">
        <v>300</v>
      </c>
      <c r="J1074" t="s">
        <v>584</v>
      </c>
      <c r="K1074">
        <v>3000</v>
      </c>
    </row>
    <row r="1075" spans="1:11">
      <c r="A1075" t="s">
        <v>1418</v>
      </c>
      <c r="B1075" t="b">
        <v>0</v>
      </c>
      <c r="H1075" t="s">
        <v>302</v>
      </c>
      <c r="I1075" t="s">
        <v>300</v>
      </c>
      <c r="J1075" t="s">
        <v>304</v>
      </c>
    </row>
    <row r="1076" spans="1:11">
      <c r="A1076" t="s">
        <v>1419</v>
      </c>
      <c r="B1076" t="b">
        <v>0</v>
      </c>
      <c r="H1076" t="s">
        <v>302</v>
      </c>
      <c r="I1076" t="s">
        <v>300</v>
      </c>
      <c r="J1076" t="s">
        <v>304</v>
      </c>
    </row>
    <row r="1077" spans="1:11">
      <c r="A1077" t="s">
        <v>1420</v>
      </c>
      <c r="B1077" t="b">
        <v>0</v>
      </c>
      <c r="H1077" t="s">
        <v>302</v>
      </c>
      <c r="I1077" t="s">
        <v>300</v>
      </c>
      <c r="J1077" t="s">
        <v>304</v>
      </c>
    </row>
    <row r="1078" spans="1:11">
      <c r="A1078" t="s">
        <v>1421</v>
      </c>
      <c r="B1078" t="b">
        <v>0</v>
      </c>
      <c r="H1078" t="s">
        <v>302</v>
      </c>
      <c r="I1078" t="s">
        <v>300</v>
      </c>
      <c r="J1078" t="s">
        <v>304</v>
      </c>
    </row>
    <row r="1079" spans="1:11">
      <c r="A1079" t="s">
        <v>1422</v>
      </c>
      <c r="B1079" t="b">
        <v>0</v>
      </c>
      <c r="H1079" t="s">
        <v>302</v>
      </c>
      <c r="I1079" t="s">
        <v>300</v>
      </c>
      <c r="J1079" t="s">
        <v>304</v>
      </c>
    </row>
    <row r="1080" spans="1:11">
      <c r="A1080" t="s">
        <v>1423</v>
      </c>
      <c r="B1080" t="b">
        <v>0</v>
      </c>
      <c r="H1080" t="s">
        <v>302</v>
      </c>
      <c r="I1080" t="s">
        <v>300</v>
      </c>
      <c r="J1080" t="s">
        <v>304</v>
      </c>
    </row>
    <row r="1081" spans="1:11">
      <c r="A1081" t="s">
        <v>1424</v>
      </c>
      <c r="B1081" t="b">
        <v>0</v>
      </c>
      <c r="H1081" t="s">
        <v>302</v>
      </c>
      <c r="I1081" t="s">
        <v>300</v>
      </c>
      <c r="J1081" t="s">
        <v>304</v>
      </c>
    </row>
    <row r="1082" spans="1:11">
      <c r="A1082" t="s">
        <v>1425</v>
      </c>
      <c r="B1082" t="b">
        <v>0</v>
      </c>
      <c r="H1082" t="s">
        <v>302</v>
      </c>
      <c r="I1082" t="s">
        <v>300</v>
      </c>
      <c r="J1082" t="s">
        <v>304</v>
      </c>
    </row>
    <row r="1083" spans="1:11">
      <c r="A1083" t="s">
        <v>1426</v>
      </c>
      <c r="B1083" t="b">
        <v>0</v>
      </c>
      <c r="H1083" t="s">
        <v>302</v>
      </c>
      <c r="I1083" t="s">
        <v>300</v>
      </c>
      <c r="J1083" t="s">
        <v>304</v>
      </c>
    </row>
    <row r="1084" spans="1:11">
      <c r="A1084" t="s">
        <v>1427</v>
      </c>
      <c r="B1084" t="b">
        <v>0</v>
      </c>
      <c r="H1084" t="s">
        <v>302</v>
      </c>
      <c r="I1084" t="s">
        <v>300</v>
      </c>
      <c r="J1084" t="s">
        <v>304</v>
      </c>
    </row>
    <row r="1085" spans="1:11">
      <c r="A1085" t="s">
        <v>1428</v>
      </c>
      <c r="B1085" t="b">
        <v>0</v>
      </c>
      <c r="H1085" t="s">
        <v>302</v>
      </c>
      <c r="I1085" t="s">
        <v>300</v>
      </c>
      <c r="J1085" t="s">
        <v>304</v>
      </c>
    </row>
    <row r="1086" spans="1:11">
      <c r="A1086" t="s">
        <v>1429</v>
      </c>
      <c r="B1086" t="b">
        <v>0</v>
      </c>
      <c r="H1086" t="s">
        <v>302</v>
      </c>
      <c r="I1086" t="s">
        <v>300</v>
      </c>
      <c r="J1086" t="s">
        <v>411</v>
      </c>
    </row>
    <row r="1087" spans="1:11">
      <c r="A1087" t="s">
        <v>1430</v>
      </c>
      <c r="B1087" t="b">
        <v>0</v>
      </c>
      <c r="H1087" t="s">
        <v>302</v>
      </c>
      <c r="I1087" t="s">
        <v>300</v>
      </c>
      <c r="J1087" t="s">
        <v>411</v>
      </c>
    </row>
    <row r="1088" spans="1:11">
      <c r="A1088" t="s">
        <v>1431</v>
      </c>
      <c r="B1088" t="b">
        <v>0</v>
      </c>
      <c r="C1088" t="s">
        <v>340</v>
      </c>
      <c r="D1088" t="s">
        <v>340</v>
      </c>
      <c r="E1088" t="s">
        <v>340</v>
      </c>
      <c r="H1088" t="s">
        <v>302</v>
      </c>
      <c r="I1088" t="s">
        <v>300</v>
      </c>
      <c r="J1088" t="s">
        <v>539</v>
      </c>
    </row>
    <row r="1089" spans="1:10">
      <c r="A1089" t="s">
        <v>1432</v>
      </c>
      <c r="B1089" t="b">
        <v>0</v>
      </c>
      <c r="C1089" t="s">
        <v>330</v>
      </c>
      <c r="D1089" t="s">
        <v>322</v>
      </c>
      <c r="E1089" t="s">
        <v>330</v>
      </c>
      <c r="H1089" t="s">
        <v>302</v>
      </c>
      <c r="I1089" t="s">
        <v>300</v>
      </c>
      <c r="J1089" t="s">
        <v>539</v>
      </c>
    </row>
    <row r="1090" spans="1:10">
      <c r="A1090" t="s">
        <v>1433</v>
      </c>
      <c r="B1090" t="b">
        <v>0</v>
      </c>
      <c r="H1090" t="s">
        <v>302</v>
      </c>
      <c r="I1090" t="s">
        <v>300</v>
      </c>
      <c r="J1090" t="s">
        <v>539</v>
      </c>
    </row>
    <row r="1091" spans="1:10">
      <c r="A1091" t="s">
        <v>1434</v>
      </c>
      <c r="B1091" t="b">
        <v>0</v>
      </c>
      <c r="H1091" t="s">
        <v>302</v>
      </c>
      <c r="I1091" t="s">
        <v>300</v>
      </c>
      <c r="J1091" t="s">
        <v>539</v>
      </c>
    </row>
    <row r="1092" spans="1:10">
      <c r="A1092" t="s">
        <v>1435</v>
      </c>
      <c r="B1092" t="b">
        <v>0</v>
      </c>
      <c r="H1092" t="s">
        <v>302</v>
      </c>
      <c r="I1092" t="s">
        <v>300</v>
      </c>
      <c r="J1092" t="s">
        <v>539</v>
      </c>
    </row>
    <row r="1093" spans="1:10">
      <c r="A1093" t="s">
        <v>1436</v>
      </c>
      <c r="B1093" t="b">
        <v>0</v>
      </c>
      <c r="H1093" t="s">
        <v>302</v>
      </c>
      <c r="I1093" t="s">
        <v>300</v>
      </c>
      <c r="J1093" t="s">
        <v>539</v>
      </c>
    </row>
    <row r="1094" spans="1:10">
      <c r="A1094" t="s">
        <v>1437</v>
      </c>
      <c r="B1094" t="b">
        <v>0</v>
      </c>
      <c r="C1094" t="s">
        <v>301</v>
      </c>
      <c r="D1094" t="s">
        <v>322</v>
      </c>
      <c r="E1094" t="s">
        <v>323</v>
      </c>
      <c r="H1094" t="s">
        <v>302</v>
      </c>
      <c r="I1094" t="s">
        <v>300</v>
      </c>
      <c r="J1094" t="s">
        <v>539</v>
      </c>
    </row>
    <row r="1095" spans="1:10">
      <c r="A1095" t="s">
        <v>1438</v>
      </c>
      <c r="B1095" t="b">
        <v>0</v>
      </c>
      <c r="C1095" t="s">
        <v>301</v>
      </c>
      <c r="D1095" t="s">
        <v>322</v>
      </c>
      <c r="E1095" t="s">
        <v>323</v>
      </c>
      <c r="H1095" t="s">
        <v>302</v>
      </c>
      <c r="I1095" t="s">
        <v>300</v>
      </c>
      <c r="J1095" t="s">
        <v>539</v>
      </c>
    </row>
    <row r="1096" spans="1:10">
      <c r="A1096" t="s">
        <v>1439</v>
      </c>
      <c r="B1096" t="b">
        <v>0</v>
      </c>
      <c r="C1096" t="s">
        <v>301</v>
      </c>
      <c r="D1096" t="s">
        <v>322</v>
      </c>
      <c r="E1096" t="s">
        <v>323</v>
      </c>
      <c r="H1096" t="s">
        <v>302</v>
      </c>
      <c r="I1096" t="s">
        <v>300</v>
      </c>
      <c r="J1096" t="s">
        <v>539</v>
      </c>
    </row>
    <row r="1097" spans="1:10">
      <c r="A1097" t="s">
        <v>1440</v>
      </c>
      <c r="B1097" t="b">
        <v>0</v>
      </c>
      <c r="C1097" t="s">
        <v>301</v>
      </c>
      <c r="D1097" t="s">
        <v>322</v>
      </c>
      <c r="E1097" t="s">
        <v>323</v>
      </c>
      <c r="H1097" t="s">
        <v>302</v>
      </c>
      <c r="I1097" t="s">
        <v>300</v>
      </c>
      <c r="J1097" t="s">
        <v>539</v>
      </c>
    </row>
    <row r="1098" spans="1:10">
      <c r="A1098" t="s">
        <v>1441</v>
      </c>
      <c r="B1098" t="b">
        <v>0</v>
      </c>
      <c r="C1098" t="s">
        <v>301</v>
      </c>
      <c r="D1098" t="s">
        <v>322</v>
      </c>
      <c r="E1098" t="s">
        <v>323</v>
      </c>
      <c r="H1098" t="s">
        <v>302</v>
      </c>
      <c r="I1098" t="s">
        <v>300</v>
      </c>
      <c r="J1098" t="s">
        <v>539</v>
      </c>
    </row>
    <row r="1099" spans="1:10">
      <c r="A1099" t="s">
        <v>1442</v>
      </c>
      <c r="B1099" t="b">
        <v>0</v>
      </c>
      <c r="C1099" t="s">
        <v>301</v>
      </c>
      <c r="D1099" t="s">
        <v>322</v>
      </c>
      <c r="E1099" t="s">
        <v>323</v>
      </c>
      <c r="H1099" t="s">
        <v>302</v>
      </c>
      <c r="I1099" t="s">
        <v>300</v>
      </c>
      <c r="J1099" t="s">
        <v>539</v>
      </c>
    </row>
    <row r="1100" spans="1:10">
      <c r="A1100" t="s">
        <v>1443</v>
      </c>
      <c r="B1100" t="b">
        <v>0</v>
      </c>
      <c r="H1100" t="s">
        <v>302</v>
      </c>
      <c r="I1100" t="s">
        <v>300</v>
      </c>
      <c r="J1100" t="s">
        <v>539</v>
      </c>
    </row>
    <row r="1101" spans="1:10">
      <c r="A1101" t="s">
        <v>1444</v>
      </c>
      <c r="B1101" t="b">
        <v>0</v>
      </c>
      <c r="H1101" t="s">
        <v>302</v>
      </c>
      <c r="I1101" t="s">
        <v>300</v>
      </c>
      <c r="J1101" t="s">
        <v>539</v>
      </c>
    </row>
    <row r="1102" spans="1:10">
      <c r="A1102" t="s">
        <v>1445</v>
      </c>
      <c r="B1102" t="b">
        <v>0</v>
      </c>
      <c r="H1102" t="s">
        <v>302</v>
      </c>
      <c r="I1102" t="s">
        <v>300</v>
      </c>
      <c r="J1102" t="s">
        <v>539</v>
      </c>
    </row>
    <row r="1103" spans="1:10">
      <c r="A1103" t="s">
        <v>1446</v>
      </c>
      <c r="B1103" t="b">
        <v>0</v>
      </c>
      <c r="C1103" t="s">
        <v>353</v>
      </c>
      <c r="D1103" t="s">
        <v>927</v>
      </c>
      <c r="E1103" t="s">
        <v>353</v>
      </c>
      <c r="H1103" t="s">
        <v>302</v>
      </c>
      <c r="I1103" t="s">
        <v>300</v>
      </c>
      <c r="J1103" t="s">
        <v>539</v>
      </c>
    </row>
    <row r="1104" spans="1:10">
      <c r="A1104" t="s">
        <v>1447</v>
      </c>
      <c r="B1104" t="b">
        <v>0</v>
      </c>
      <c r="H1104" t="s">
        <v>302</v>
      </c>
      <c r="I1104" t="s">
        <v>300</v>
      </c>
      <c r="J1104" t="s">
        <v>539</v>
      </c>
    </row>
    <row r="1105" spans="1:10">
      <c r="A1105" t="s">
        <v>1448</v>
      </c>
      <c r="B1105" t="b">
        <v>0</v>
      </c>
      <c r="H1105" t="s">
        <v>302</v>
      </c>
      <c r="I1105" t="s">
        <v>300</v>
      </c>
      <c r="J1105" t="s">
        <v>539</v>
      </c>
    </row>
    <row r="1106" spans="1:10">
      <c r="A1106" t="s">
        <v>1449</v>
      </c>
      <c r="B1106" t="b">
        <v>0</v>
      </c>
      <c r="H1106" t="s">
        <v>302</v>
      </c>
      <c r="I1106" t="s">
        <v>300</v>
      </c>
      <c r="J1106" t="s">
        <v>539</v>
      </c>
    </row>
    <row r="1107" spans="1:10">
      <c r="A1107" t="s">
        <v>1450</v>
      </c>
      <c r="B1107" t="b">
        <v>0</v>
      </c>
      <c r="H1107" t="s">
        <v>302</v>
      </c>
      <c r="I1107" t="s">
        <v>300</v>
      </c>
      <c r="J1107" t="s">
        <v>539</v>
      </c>
    </row>
    <row r="1108" spans="1:10">
      <c r="A1108" t="s">
        <v>1451</v>
      </c>
      <c r="B1108" t="b">
        <v>0</v>
      </c>
      <c r="C1108" t="s">
        <v>330</v>
      </c>
      <c r="H1108" t="s">
        <v>302</v>
      </c>
      <c r="I1108" t="s">
        <v>300</v>
      </c>
      <c r="J1108" t="s">
        <v>539</v>
      </c>
    </row>
    <row r="1109" spans="1:10">
      <c r="A1109" t="s">
        <v>1452</v>
      </c>
      <c r="B1109" t="b">
        <v>0</v>
      </c>
      <c r="H1109" t="s">
        <v>302</v>
      </c>
      <c r="I1109" t="s">
        <v>300</v>
      </c>
      <c r="J1109" t="s">
        <v>539</v>
      </c>
    </row>
    <row r="1110" spans="1:10">
      <c r="A1110" t="s">
        <v>1453</v>
      </c>
      <c r="B1110" t="b">
        <v>0</v>
      </c>
      <c r="C1110" t="s">
        <v>301</v>
      </c>
      <c r="D1110" t="s">
        <v>301</v>
      </c>
      <c r="E1110" t="s">
        <v>301</v>
      </c>
      <c r="H1110" t="s">
        <v>302</v>
      </c>
      <c r="I1110" t="s">
        <v>300</v>
      </c>
      <c r="J1110" t="s">
        <v>539</v>
      </c>
    </row>
    <row r="1111" spans="1:10">
      <c r="A1111" t="s">
        <v>1454</v>
      </c>
      <c r="B1111" t="b">
        <v>0</v>
      </c>
      <c r="C1111" t="s">
        <v>330</v>
      </c>
      <c r="H1111" t="s">
        <v>302</v>
      </c>
      <c r="I1111" t="s">
        <v>300</v>
      </c>
      <c r="J1111" t="s">
        <v>539</v>
      </c>
    </row>
    <row r="1112" spans="1:10">
      <c r="A1112" t="s">
        <v>1455</v>
      </c>
      <c r="B1112" t="b">
        <v>0</v>
      </c>
      <c r="H1112" t="s">
        <v>302</v>
      </c>
      <c r="I1112" t="s">
        <v>300</v>
      </c>
      <c r="J1112" t="s">
        <v>539</v>
      </c>
    </row>
    <row r="1113" spans="1:10">
      <c r="A1113" t="s">
        <v>1456</v>
      </c>
      <c r="B1113" t="b">
        <v>0</v>
      </c>
      <c r="H1113" t="s">
        <v>302</v>
      </c>
      <c r="I1113" t="s">
        <v>300</v>
      </c>
      <c r="J1113" t="s">
        <v>411</v>
      </c>
    </row>
    <row r="1114" spans="1:10">
      <c r="A1114" t="s">
        <v>1457</v>
      </c>
      <c r="B1114" t="b">
        <v>0</v>
      </c>
      <c r="H1114" t="s">
        <v>302</v>
      </c>
      <c r="I1114" t="s">
        <v>300</v>
      </c>
      <c r="J1114" t="s">
        <v>411</v>
      </c>
    </row>
    <row r="1115" spans="1:10">
      <c r="A1115" t="s">
        <v>1458</v>
      </c>
      <c r="B1115" t="b">
        <v>0</v>
      </c>
      <c r="H1115" t="s">
        <v>302</v>
      </c>
      <c r="I1115" t="s">
        <v>300</v>
      </c>
      <c r="J1115" t="s">
        <v>411</v>
      </c>
    </row>
    <row r="1116" spans="1:10">
      <c r="A1116" t="s">
        <v>1459</v>
      </c>
      <c r="B1116" t="b">
        <v>0</v>
      </c>
      <c r="H1116" t="s">
        <v>302</v>
      </c>
      <c r="I1116" t="s">
        <v>300</v>
      </c>
      <c r="J1116" t="s">
        <v>411</v>
      </c>
    </row>
    <row r="1117" spans="1:10">
      <c r="A1117" t="s">
        <v>1460</v>
      </c>
      <c r="B1117" t="b">
        <v>0</v>
      </c>
      <c r="H1117" t="s">
        <v>302</v>
      </c>
      <c r="I1117" t="s">
        <v>300</v>
      </c>
      <c r="J1117" t="s">
        <v>411</v>
      </c>
    </row>
    <row r="1118" spans="1:10">
      <c r="A1118" t="s">
        <v>1461</v>
      </c>
      <c r="B1118" t="b">
        <v>0</v>
      </c>
      <c r="H1118" t="s">
        <v>302</v>
      </c>
      <c r="I1118" t="s">
        <v>300</v>
      </c>
      <c r="J1118" t="s">
        <v>411</v>
      </c>
    </row>
    <row r="1119" spans="1:10">
      <c r="A1119" t="s">
        <v>1462</v>
      </c>
      <c r="B1119" t="b">
        <v>0</v>
      </c>
      <c r="H1119" t="s">
        <v>302</v>
      </c>
      <c r="I1119" t="s">
        <v>300</v>
      </c>
      <c r="J1119" t="s">
        <v>411</v>
      </c>
    </row>
    <row r="1120" spans="1:10">
      <c r="A1120" t="s">
        <v>1463</v>
      </c>
      <c r="B1120" t="b">
        <v>0</v>
      </c>
      <c r="H1120" t="s">
        <v>302</v>
      </c>
      <c r="I1120" t="s">
        <v>300</v>
      </c>
      <c r="J1120" t="s">
        <v>539</v>
      </c>
    </row>
    <row r="1121" spans="1:10">
      <c r="A1121" t="s">
        <v>1464</v>
      </c>
      <c r="B1121" t="b">
        <v>0</v>
      </c>
      <c r="H1121" t="s">
        <v>302</v>
      </c>
      <c r="I1121" t="s">
        <v>300</v>
      </c>
      <c r="J1121" t="s">
        <v>539</v>
      </c>
    </row>
    <row r="1122" spans="1:10">
      <c r="A1122" t="s">
        <v>1465</v>
      </c>
      <c r="B1122" t="b">
        <v>0</v>
      </c>
      <c r="H1122" t="s">
        <v>302</v>
      </c>
      <c r="I1122" t="s">
        <v>300</v>
      </c>
      <c r="J1122" t="s">
        <v>539</v>
      </c>
    </row>
    <row r="1123" spans="1:10">
      <c r="A1123" t="s">
        <v>1466</v>
      </c>
      <c r="B1123" t="b">
        <v>0</v>
      </c>
      <c r="H1123" t="s">
        <v>302</v>
      </c>
      <c r="I1123" t="s">
        <v>300</v>
      </c>
      <c r="J1123" t="s">
        <v>539</v>
      </c>
    </row>
    <row r="1124" spans="1:10">
      <c r="A1124" t="s">
        <v>1467</v>
      </c>
      <c r="B1124" t="b">
        <v>0</v>
      </c>
      <c r="H1124" t="s">
        <v>302</v>
      </c>
      <c r="I1124" t="s">
        <v>300</v>
      </c>
      <c r="J1124" t="s">
        <v>539</v>
      </c>
    </row>
    <row r="1125" spans="1:10">
      <c r="A1125" t="s">
        <v>1468</v>
      </c>
      <c r="B1125" t="b">
        <v>0</v>
      </c>
      <c r="H1125" t="s">
        <v>302</v>
      </c>
      <c r="I1125" t="s">
        <v>300</v>
      </c>
      <c r="J1125" t="s">
        <v>539</v>
      </c>
    </row>
    <row r="1126" spans="1:10">
      <c r="A1126" t="s">
        <v>1469</v>
      </c>
      <c r="B1126" t="b">
        <v>0</v>
      </c>
      <c r="H1126" t="s">
        <v>302</v>
      </c>
      <c r="I1126" t="s">
        <v>300</v>
      </c>
      <c r="J1126" t="s">
        <v>539</v>
      </c>
    </row>
    <row r="1127" spans="1:10">
      <c r="A1127" t="s">
        <v>1470</v>
      </c>
      <c r="B1127" t="b">
        <v>0</v>
      </c>
      <c r="H1127" t="s">
        <v>302</v>
      </c>
      <c r="I1127" t="s">
        <v>300</v>
      </c>
      <c r="J1127" t="s">
        <v>539</v>
      </c>
    </row>
    <row r="1128" spans="1:10">
      <c r="A1128" t="s">
        <v>1471</v>
      </c>
      <c r="B1128" t="b">
        <v>0</v>
      </c>
      <c r="H1128" t="s">
        <v>302</v>
      </c>
      <c r="I1128" t="s">
        <v>300</v>
      </c>
      <c r="J1128" t="s">
        <v>539</v>
      </c>
    </row>
    <row r="1129" spans="1:10">
      <c r="A1129" t="s">
        <v>1472</v>
      </c>
      <c r="B1129" t="b">
        <v>0</v>
      </c>
      <c r="H1129" t="s">
        <v>302</v>
      </c>
      <c r="I1129" t="s">
        <v>300</v>
      </c>
      <c r="J1129" t="s">
        <v>539</v>
      </c>
    </row>
    <row r="1130" spans="1:10">
      <c r="A1130" t="s">
        <v>1473</v>
      </c>
      <c r="B1130" t="b">
        <v>0</v>
      </c>
      <c r="H1130" t="s">
        <v>302</v>
      </c>
      <c r="I1130" t="s">
        <v>300</v>
      </c>
      <c r="J1130" t="s">
        <v>539</v>
      </c>
    </row>
    <row r="1131" spans="1:10">
      <c r="A1131" t="s">
        <v>1474</v>
      </c>
      <c r="B1131" t="b">
        <v>0</v>
      </c>
      <c r="H1131" t="s">
        <v>302</v>
      </c>
      <c r="I1131" t="s">
        <v>300</v>
      </c>
      <c r="J1131" t="s">
        <v>539</v>
      </c>
    </row>
    <row r="1132" spans="1:10">
      <c r="A1132" t="s">
        <v>1475</v>
      </c>
      <c r="B1132" t="b">
        <v>0</v>
      </c>
      <c r="H1132" t="s">
        <v>302</v>
      </c>
      <c r="I1132" t="s">
        <v>300</v>
      </c>
      <c r="J1132" t="s">
        <v>539</v>
      </c>
    </row>
    <row r="1133" spans="1:10">
      <c r="A1133" t="s">
        <v>1476</v>
      </c>
      <c r="B1133" t="b">
        <v>0</v>
      </c>
      <c r="H1133" t="s">
        <v>302</v>
      </c>
      <c r="I1133" t="s">
        <v>300</v>
      </c>
      <c r="J1133" t="s">
        <v>539</v>
      </c>
    </row>
    <row r="1134" spans="1:10">
      <c r="A1134" t="s">
        <v>1477</v>
      </c>
      <c r="B1134" t="b">
        <v>0</v>
      </c>
      <c r="H1134" t="s">
        <v>302</v>
      </c>
      <c r="I1134" t="s">
        <v>300</v>
      </c>
      <c r="J1134" t="s">
        <v>539</v>
      </c>
    </row>
    <row r="1135" spans="1:10">
      <c r="A1135" t="s">
        <v>1478</v>
      </c>
      <c r="B1135" t="b">
        <v>0</v>
      </c>
      <c r="H1135" t="s">
        <v>302</v>
      </c>
      <c r="I1135" t="s">
        <v>300</v>
      </c>
      <c r="J1135" t="s">
        <v>539</v>
      </c>
    </row>
    <row r="1136" spans="1:10">
      <c r="A1136" t="s">
        <v>1479</v>
      </c>
      <c r="B1136" t="b">
        <v>0</v>
      </c>
      <c r="H1136" t="s">
        <v>302</v>
      </c>
      <c r="I1136" t="s">
        <v>300</v>
      </c>
      <c r="J1136" t="s">
        <v>539</v>
      </c>
    </row>
    <row r="1137" spans="1:10">
      <c r="A1137" t="s">
        <v>1480</v>
      </c>
      <c r="B1137" t="b">
        <v>0</v>
      </c>
      <c r="H1137" t="s">
        <v>302</v>
      </c>
      <c r="I1137" t="s">
        <v>300</v>
      </c>
      <c r="J1137" t="s">
        <v>539</v>
      </c>
    </row>
    <row r="1138" spans="1:10">
      <c r="A1138" t="s">
        <v>1481</v>
      </c>
      <c r="B1138" t="b">
        <v>0</v>
      </c>
      <c r="H1138" t="s">
        <v>302</v>
      </c>
      <c r="I1138" t="s">
        <v>300</v>
      </c>
      <c r="J1138" t="s">
        <v>539</v>
      </c>
    </row>
    <row r="1139" spans="1:10">
      <c r="A1139" t="s">
        <v>1482</v>
      </c>
      <c r="B1139" t="b">
        <v>0</v>
      </c>
      <c r="H1139" t="s">
        <v>302</v>
      </c>
      <c r="I1139" t="s">
        <v>300</v>
      </c>
      <c r="J1139" t="s">
        <v>539</v>
      </c>
    </row>
    <row r="1140" spans="1:10">
      <c r="A1140" t="s">
        <v>1483</v>
      </c>
      <c r="B1140" t="b">
        <v>0</v>
      </c>
      <c r="H1140" t="s">
        <v>302</v>
      </c>
      <c r="I1140" t="s">
        <v>300</v>
      </c>
      <c r="J1140" t="s">
        <v>539</v>
      </c>
    </row>
    <row r="1141" spans="1:10">
      <c r="A1141" t="s">
        <v>1484</v>
      </c>
      <c r="B1141" t="b">
        <v>0</v>
      </c>
      <c r="H1141" t="s">
        <v>302</v>
      </c>
      <c r="I1141" t="s">
        <v>300</v>
      </c>
      <c r="J1141" t="s">
        <v>539</v>
      </c>
    </row>
    <row r="1142" spans="1:10">
      <c r="A1142" t="s">
        <v>1485</v>
      </c>
      <c r="B1142" t="b">
        <v>0</v>
      </c>
      <c r="H1142" t="s">
        <v>302</v>
      </c>
      <c r="I1142" t="s">
        <v>300</v>
      </c>
      <c r="J1142" t="s">
        <v>539</v>
      </c>
    </row>
    <row r="1143" spans="1:10">
      <c r="A1143" t="s">
        <v>1486</v>
      </c>
      <c r="B1143" t="b">
        <v>0</v>
      </c>
      <c r="H1143" t="s">
        <v>302</v>
      </c>
      <c r="I1143" t="s">
        <v>300</v>
      </c>
      <c r="J1143" t="s">
        <v>539</v>
      </c>
    </row>
    <row r="1144" spans="1:10">
      <c r="A1144" t="s">
        <v>1487</v>
      </c>
      <c r="B1144" t="b">
        <v>0</v>
      </c>
      <c r="H1144" t="s">
        <v>302</v>
      </c>
      <c r="I1144" t="s">
        <v>300</v>
      </c>
      <c r="J1144" t="s">
        <v>539</v>
      </c>
    </row>
    <row r="1145" spans="1:10">
      <c r="A1145" t="s">
        <v>1488</v>
      </c>
      <c r="B1145" t="b">
        <v>0</v>
      </c>
      <c r="H1145" t="s">
        <v>302</v>
      </c>
      <c r="I1145" t="s">
        <v>300</v>
      </c>
      <c r="J1145" t="s">
        <v>539</v>
      </c>
    </row>
    <row r="1146" spans="1:10">
      <c r="A1146" t="s">
        <v>1489</v>
      </c>
      <c r="B1146" t="b">
        <v>0</v>
      </c>
      <c r="H1146" t="s">
        <v>302</v>
      </c>
      <c r="I1146" t="s">
        <v>300</v>
      </c>
      <c r="J1146" t="s">
        <v>539</v>
      </c>
    </row>
    <row r="1147" spans="1:10">
      <c r="A1147" t="s">
        <v>1490</v>
      </c>
      <c r="B1147" t="b">
        <v>0</v>
      </c>
      <c r="H1147" t="s">
        <v>302</v>
      </c>
      <c r="I1147" t="s">
        <v>300</v>
      </c>
      <c r="J1147" t="s">
        <v>539</v>
      </c>
    </row>
    <row r="1148" spans="1:10">
      <c r="A1148" t="s">
        <v>1491</v>
      </c>
      <c r="B1148" t="b">
        <v>0</v>
      </c>
      <c r="H1148" t="s">
        <v>302</v>
      </c>
      <c r="I1148" t="s">
        <v>300</v>
      </c>
      <c r="J1148" t="s">
        <v>539</v>
      </c>
    </row>
    <row r="1149" spans="1:10">
      <c r="A1149" t="s">
        <v>1492</v>
      </c>
      <c r="B1149" t="b">
        <v>0</v>
      </c>
      <c r="H1149" t="s">
        <v>302</v>
      </c>
      <c r="I1149" t="s">
        <v>300</v>
      </c>
      <c r="J1149" t="s">
        <v>539</v>
      </c>
    </row>
    <row r="1150" spans="1:10">
      <c r="A1150" t="s">
        <v>1493</v>
      </c>
      <c r="B1150" t="b">
        <v>0</v>
      </c>
      <c r="H1150" t="s">
        <v>302</v>
      </c>
      <c r="I1150" t="s">
        <v>300</v>
      </c>
      <c r="J1150" t="s">
        <v>539</v>
      </c>
    </row>
    <row r="1151" spans="1:10">
      <c r="A1151" t="s">
        <v>1494</v>
      </c>
      <c r="B1151" t="b">
        <v>0</v>
      </c>
      <c r="H1151" t="s">
        <v>302</v>
      </c>
      <c r="I1151" t="s">
        <v>300</v>
      </c>
      <c r="J1151" t="s">
        <v>539</v>
      </c>
    </row>
    <row r="1152" spans="1:10">
      <c r="A1152" t="s">
        <v>1495</v>
      </c>
      <c r="B1152" t="b">
        <v>0</v>
      </c>
      <c r="H1152" t="s">
        <v>302</v>
      </c>
      <c r="I1152" t="s">
        <v>300</v>
      </c>
      <c r="J1152" t="s">
        <v>539</v>
      </c>
    </row>
    <row r="1153" spans="1:10">
      <c r="A1153" t="s">
        <v>1496</v>
      </c>
      <c r="B1153" t="b">
        <v>0</v>
      </c>
      <c r="H1153" t="s">
        <v>302</v>
      </c>
      <c r="I1153" t="s">
        <v>300</v>
      </c>
      <c r="J1153" t="s">
        <v>539</v>
      </c>
    </row>
    <row r="1154" spans="1:10">
      <c r="A1154" t="s">
        <v>1497</v>
      </c>
      <c r="B1154" t="b">
        <v>0</v>
      </c>
      <c r="H1154" t="s">
        <v>302</v>
      </c>
      <c r="I1154" t="s">
        <v>300</v>
      </c>
      <c r="J1154" t="s">
        <v>539</v>
      </c>
    </row>
    <row r="1155" spans="1:10">
      <c r="A1155" t="s">
        <v>1498</v>
      </c>
      <c r="B1155" t="b">
        <v>0</v>
      </c>
      <c r="H1155" t="s">
        <v>302</v>
      </c>
      <c r="I1155" t="s">
        <v>300</v>
      </c>
      <c r="J1155" t="s">
        <v>539</v>
      </c>
    </row>
    <row r="1156" spans="1:10">
      <c r="A1156" t="s">
        <v>1499</v>
      </c>
      <c r="B1156" t="b">
        <v>0</v>
      </c>
      <c r="H1156" t="s">
        <v>302</v>
      </c>
      <c r="I1156" t="s">
        <v>300</v>
      </c>
      <c r="J1156" t="s">
        <v>539</v>
      </c>
    </row>
    <row r="1157" spans="1:10">
      <c r="A1157" t="s">
        <v>1500</v>
      </c>
      <c r="B1157" t="b">
        <v>0</v>
      </c>
      <c r="H1157" t="s">
        <v>302</v>
      </c>
      <c r="I1157" t="s">
        <v>300</v>
      </c>
      <c r="J1157" t="s">
        <v>539</v>
      </c>
    </row>
    <row r="1158" spans="1:10">
      <c r="A1158" t="s">
        <v>1501</v>
      </c>
      <c r="B1158" t="b">
        <v>0</v>
      </c>
      <c r="H1158" t="s">
        <v>302</v>
      </c>
      <c r="I1158" t="s">
        <v>300</v>
      </c>
      <c r="J1158" t="s">
        <v>539</v>
      </c>
    </row>
    <row r="1159" spans="1:10">
      <c r="A1159" t="s">
        <v>1502</v>
      </c>
      <c r="B1159" t="b">
        <v>0</v>
      </c>
      <c r="H1159" t="s">
        <v>302</v>
      </c>
      <c r="I1159" t="s">
        <v>300</v>
      </c>
      <c r="J1159" t="s">
        <v>539</v>
      </c>
    </row>
    <row r="1160" spans="1:10">
      <c r="A1160" t="s">
        <v>1503</v>
      </c>
      <c r="B1160" t="b">
        <v>0</v>
      </c>
      <c r="H1160" t="s">
        <v>302</v>
      </c>
      <c r="I1160" t="s">
        <v>300</v>
      </c>
      <c r="J1160" t="s">
        <v>539</v>
      </c>
    </row>
    <row r="1161" spans="1:10">
      <c r="A1161" t="s">
        <v>1504</v>
      </c>
      <c r="B1161" t="b">
        <v>0</v>
      </c>
      <c r="H1161" t="s">
        <v>302</v>
      </c>
      <c r="I1161" t="s">
        <v>300</v>
      </c>
      <c r="J1161" t="s">
        <v>539</v>
      </c>
    </row>
    <row r="1162" spans="1:10">
      <c r="A1162" t="s">
        <v>1505</v>
      </c>
      <c r="B1162" t="b">
        <v>0</v>
      </c>
      <c r="H1162" t="s">
        <v>302</v>
      </c>
      <c r="I1162" t="s">
        <v>300</v>
      </c>
      <c r="J1162" t="s">
        <v>539</v>
      </c>
    </row>
    <row r="1163" spans="1:10">
      <c r="A1163" t="s">
        <v>1506</v>
      </c>
      <c r="B1163" t="b">
        <v>0</v>
      </c>
      <c r="H1163" t="s">
        <v>302</v>
      </c>
      <c r="I1163" t="s">
        <v>300</v>
      </c>
      <c r="J1163" t="s">
        <v>539</v>
      </c>
    </row>
    <row r="1164" spans="1:10">
      <c r="A1164" t="s">
        <v>1507</v>
      </c>
      <c r="B1164" t="b">
        <v>0</v>
      </c>
      <c r="H1164" t="s">
        <v>302</v>
      </c>
      <c r="I1164" t="s">
        <v>300</v>
      </c>
      <c r="J1164" t="s">
        <v>539</v>
      </c>
    </row>
    <row r="1165" spans="1:10">
      <c r="A1165" t="s">
        <v>1508</v>
      </c>
      <c r="B1165" t="b">
        <v>0</v>
      </c>
      <c r="H1165" t="s">
        <v>302</v>
      </c>
      <c r="I1165" t="s">
        <v>300</v>
      </c>
      <c r="J1165" t="s">
        <v>539</v>
      </c>
    </row>
    <row r="1166" spans="1:10">
      <c r="A1166" t="s">
        <v>1509</v>
      </c>
      <c r="B1166" t="b">
        <v>0</v>
      </c>
      <c r="H1166" t="s">
        <v>302</v>
      </c>
      <c r="I1166" t="s">
        <v>300</v>
      </c>
      <c r="J1166" t="s">
        <v>539</v>
      </c>
    </row>
    <row r="1167" spans="1:10">
      <c r="A1167" t="s">
        <v>1510</v>
      </c>
      <c r="B1167" t="b">
        <v>0</v>
      </c>
      <c r="H1167" t="s">
        <v>302</v>
      </c>
      <c r="I1167" t="s">
        <v>300</v>
      </c>
      <c r="J1167" t="s">
        <v>539</v>
      </c>
    </row>
    <row r="1168" spans="1:10">
      <c r="A1168" t="s">
        <v>1511</v>
      </c>
      <c r="B1168" t="b">
        <v>0</v>
      </c>
      <c r="H1168" t="s">
        <v>302</v>
      </c>
      <c r="I1168" t="s">
        <v>300</v>
      </c>
      <c r="J1168" t="s">
        <v>539</v>
      </c>
    </row>
    <row r="1169" spans="1:10">
      <c r="A1169" t="s">
        <v>1512</v>
      </c>
      <c r="B1169" t="b">
        <v>0</v>
      </c>
      <c r="H1169" t="s">
        <v>302</v>
      </c>
      <c r="I1169" t="s">
        <v>300</v>
      </c>
      <c r="J1169" t="s">
        <v>518</v>
      </c>
    </row>
    <row r="1170" spans="1:10">
      <c r="A1170" t="s">
        <v>1513</v>
      </c>
      <c r="B1170" t="b">
        <v>0</v>
      </c>
      <c r="H1170" t="s">
        <v>302</v>
      </c>
      <c r="I1170" t="s">
        <v>300</v>
      </c>
      <c r="J1170" t="s">
        <v>518</v>
      </c>
    </row>
    <row r="1171" spans="1:10">
      <c r="A1171" t="s">
        <v>1514</v>
      </c>
      <c r="B1171" t="b">
        <v>0</v>
      </c>
      <c r="H1171" t="s">
        <v>302</v>
      </c>
      <c r="I1171" t="s">
        <v>300</v>
      </c>
      <c r="J1171" t="s">
        <v>518</v>
      </c>
    </row>
    <row r="1172" spans="1:10">
      <c r="A1172" t="s">
        <v>1515</v>
      </c>
      <c r="B1172" t="b">
        <v>0</v>
      </c>
      <c r="H1172" t="s">
        <v>302</v>
      </c>
      <c r="I1172" t="s">
        <v>300</v>
      </c>
      <c r="J1172" t="s">
        <v>518</v>
      </c>
    </row>
    <row r="1173" spans="1:10">
      <c r="A1173" t="s">
        <v>1516</v>
      </c>
      <c r="B1173" t="b">
        <v>0</v>
      </c>
      <c r="H1173" t="s">
        <v>302</v>
      </c>
      <c r="I1173" t="s">
        <v>300</v>
      </c>
      <c r="J1173" t="s">
        <v>518</v>
      </c>
    </row>
    <row r="1174" spans="1:10">
      <c r="A1174" t="s">
        <v>1517</v>
      </c>
      <c r="B1174" t="b">
        <v>0</v>
      </c>
      <c r="H1174" t="s">
        <v>302</v>
      </c>
      <c r="I1174" t="s">
        <v>300</v>
      </c>
      <c r="J1174" t="s">
        <v>518</v>
      </c>
    </row>
    <row r="1175" spans="1:10">
      <c r="A1175" t="s">
        <v>1518</v>
      </c>
      <c r="B1175" t="b">
        <v>0</v>
      </c>
      <c r="C1175" t="s">
        <v>301</v>
      </c>
      <c r="D1175" t="s">
        <v>301</v>
      </c>
      <c r="E1175" t="s">
        <v>301</v>
      </c>
      <c r="H1175" t="s">
        <v>302</v>
      </c>
      <c r="I1175" t="s">
        <v>300</v>
      </c>
      <c r="J1175" t="s">
        <v>518</v>
      </c>
    </row>
    <row r="1176" spans="1:10">
      <c r="A1176" t="s">
        <v>1519</v>
      </c>
      <c r="B1176" t="b">
        <v>0</v>
      </c>
      <c r="H1176" t="s">
        <v>302</v>
      </c>
      <c r="I1176" t="s">
        <v>300</v>
      </c>
      <c r="J1176" t="s">
        <v>518</v>
      </c>
    </row>
    <row r="1177" spans="1:10">
      <c r="A1177" t="s">
        <v>1520</v>
      </c>
      <c r="B1177" t="b">
        <v>0</v>
      </c>
      <c r="H1177" t="s">
        <v>302</v>
      </c>
      <c r="I1177" t="s">
        <v>300</v>
      </c>
      <c r="J1177" t="s">
        <v>518</v>
      </c>
    </row>
    <row r="1178" spans="1:10">
      <c r="A1178" t="s">
        <v>1521</v>
      </c>
      <c r="B1178" t="b">
        <v>0</v>
      </c>
      <c r="H1178" t="s">
        <v>302</v>
      </c>
      <c r="I1178" t="s">
        <v>300</v>
      </c>
      <c r="J1178" t="s">
        <v>518</v>
      </c>
    </row>
    <row r="1179" spans="1:10">
      <c r="A1179" t="s">
        <v>1522</v>
      </c>
      <c r="B1179" t="b">
        <v>0</v>
      </c>
      <c r="H1179" t="s">
        <v>302</v>
      </c>
      <c r="I1179" t="s">
        <v>300</v>
      </c>
      <c r="J1179" t="s">
        <v>518</v>
      </c>
    </row>
    <row r="1180" spans="1:10">
      <c r="A1180" t="s">
        <v>1523</v>
      </c>
      <c r="B1180" t="b">
        <v>0</v>
      </c>
      <c r="H1180" t="s">
        <v>302</v>
      </c>
      <c r="I1180" t="s">
        <v>300</v>
      </c>
      <c r="J1180" t="s">
        <v>518</v>
      </c>
    </row>
    <row r="1181" spans="1:10">
      <c r="A1181" t="s">
        <v>1524</v>
      </c>
      <c r="B1181" t="b">
        <v>0</v>
      </c>
      <c r="H1181" t="s">
        <v>302</v>
      </c>
      <c r="I1181" t="s">
        <v>300</v>
      </c>
      <c r="J1181" t="s">
        <v>518</v>
      </c>
    </row>
    <row r="1182" spans="1:10">
      <c r="A1182" t="s">
        <v>1525</v>
      </c>
      <c r="B1182" t="b">
        <v>0</v>
      </c>
      <c r="H1182" t="s">
        <v>302</v>
      </c>
      <c r="I1182" t="s">
        <v>300</v>
      </c>
      <c r="J1182" t="s">
        <v>304</v>
      </c>
    </row>
    <row r="1183" spans="1:10">
      <c r="A1183" t="s">
        <v>1526</v>
      </c>
      <c r="B1183" t="b">
        <v>0</v>
      </c>
      <c r="H1183" t="s">
        <v>302</v>
      </c>
      <c r="I1183" t="s">
        <v>300</v>
      </c>
      <c r="J1183" t="s">
        <v>304</v>
      </c>
    </row>
    <row r="1184" spans="1:10">
      <c r="A1184" t="s">
        <v>1527</v>
      </c>
      <c r="B1184" t="b">
        <v>0</v>
      </c>
      <c r="H1184" t="s">
        <v>302</v>
      </c>
      <c r="I1184" t="s">
        <v>300</v>
      </c>
      <c r="J1184" t="s">
        <v>304</v>
      </c>
    </row>
    <row r="1185" spans="1:10">
      <c r="A1185" t="s">
        <v>1528</v>
      </c>
      <c r="B1185" t="b">
        <v>0</v>
      </c>
      <c r="H1185" t="s">
        <v>302</v>
      </c>
      <c r="I1185" t="s">
        <v>300</v>
      </c>
      <c r="J1185" t="s">
        <v>304</v>
      </c>
    </row>
    <row r="1186" spans="1:10">
      <c r="A1186" t="s">
        <v>1529</v>
      </c>
      <c r="B1186" t="b">
        <v>0</v>
      </c>
      <c r="H1186" t="s">
        <v>302</v>
      </c>
      <c r="I1186" t="s">
        <v>300</v>
      </c>
      <c r="J1186" t="s">
        <v>304</v>
      </c>
    </row>
    <row r="1187" spans="1:10">
      <c r="A1187" t="s">
        <v>1530</v>
      </c>
      <c r="B1187" t="b">
        <v>0</v>
      </c>
      <c r="H1187" t="s">
        <v>302</v>
      </c>
      <c r="I1187" t="s">
        <v>300</v>
      </c>
      <c r="J1187" t="s">
        <v>304</v>
      </c>
    </row>
    <row r="1188" spans="1:10">
      <c r="A1188" t="s">
        <v>1531</v>
      </c>
      <c r="B1188" t="b">
        <v>0</v>
      </c>
      <c r="H1188" t="s">
        <v>302</v>
      </c>
      <c r="I1188" t="s">
        <v>300</v>
      </c>
      <c r="J1188" t="s">
        <v>304</v>
      </c>
    </row>
    <row r="1189" spans="1:10">
      <c r="A1189" t="s">
        <v>1532</v>
      </c>
      <c r="B1189" t="b">
        <v>0</v>
      </c>
      <c r="H1189" t="s">
        <v>302</v>
      </c>
      <c r="I1189" t="s">
        <v>300</v>
      </c>
      <c r="J1189" t="s">
        <v>539</v>
      </c>
    </row>
    <row r="1190" spans="1:10">
      <c r="A1190" t="s">
        <v>1533</v>
      </c>
      <c r="B1190" t="b">
        <v>0</v>
      </c>
      <c r="H1190" t="s">
        <v>302</v>
      </c>
      <c r="I1190" t="s">
        <v>300</v>
      </c>
      <c r="J1190" t="s">
        <v>539</v>
      </c>
    </row>
    <row r="1191" spans="1:10">
      <c r="A1191" t="s">
        <v>1534</v>
      </c>
      <c r="B1191" t="b">
        <v>0</v>
      </c>
      <c r="H1191" t="s">
        <v>302</v>
      </c>
      <c r="I1191" t="s">
        <v>300</v>
      </c>
      <c r="J1191" t="s">
        <v>539</v>
      </c>
    </row>
    <row r="1192" spans="1:10">
      <c r="A1192" t="s">
        <v>1535</v>
      </c>
      <c r="B1192" t="b">
        <v>0</v>
      </c>
      <c r="C1192" t="s">
        <v>301</v>
      </c>
      <c r="D1192" t="s">
        <v>322</v>
      </c>
      <c r="E1192" t="s">
        <v>323</v>
      </c>
      <c r="H1192" t="s">
        <v>302</v>
      </c>
      <c r="I1192" t="s">
        <v>300</v>
      </c>
      <c r="J1192" t="s">
        <v>539</v>
      </c>
    </row>
    <row r="1193" spans="1:10">
      <c r="A1193" t="s">
        <v>1536</v>
      </c>
      <c r="B1193" t="b">
        <v>0</v>
      </c>
      <c r="H1193" t="s">
        <v>302</v>
      </c>
      <c r="I1193" t="s">
        <v>300</v>
      </c>
      <c r="J1193" t="s">
        <v>539</v>
      </c>
    </row>
    <row r="1194" spans="1:10">
      <c r="A1194" t="s">
        <v>1537</v>
      </c>
      <c r="B1194" t="b">
        <v>0</v>
      </c>
      <c r="H1194" t="s">
        <v>302</v>
      </c>
      <c r="I1194" t="s">
        <v>300</v>
      </c>
      <c r="J1194" t="s">
        <v>539</v>
      </c>
    </row>
    <row r="1195" spans="1:10">
      <c r="A1195" t="s">
        <v>1538</v>
      </c>
      <c r="B1195" t="b">
        <v>0</v>
      </c>
      <c r="H1195" t="s">
        <v>302</v>
      </c>
      <c r="I1195" t="s">
        <v>300</v>
      </c>
      <c r="J1195" t="s">
        <v>539</v>
      </c>
    </row>
    <row r="1196" spans="1:10">
      <c r="A1196" t="s">
        <v>1539</v>
      </c>
      <c r="B1196" t="b">
        <v>0</v>
      </c>
      <c r="H1196" t="s">
        <v>302</v>
      </c>
      <c r="I1196" t="s">
        <v>300</v>
      </c>
      <c r="J1196" t="s">
        <v>539</v>
      </c>
    </row>
    <row r="1197" spans="1:10">
      <c r="A1197" t="s">
        <v>1540</v>
      </c>
      <c r="B1197" t="b">
        <v>0</v>
      </c>
      <c r="H1197" t="s">
        <v>302</v>
      </c>
      <c r="I1197" t="s">
        <v>300</v>
      </c>
      <c r="J1197" t="s">
        <v>539</v>
      </c>
    </row>
    <row r="1198" spans="1:10">
      <c r="A1198" t="s">
        <v>1541</v>
      </c>
      <c r="B1198" t="b">
        <v>0</v>
      </c>
      <c r="C1198" t="s">
        <v>353</v>
      </c>
      <c r="D1198" t="s">
        <v>927</v>
      </c>
      <c r="E1198" t="s">
        <v>353</v>
      </c>
      <c r="H1198" t="s">
        <v>302</v>
      </c>
      <c r="I1198" t="s">
        <v>300</v>
      </c>
      <c r="J1198" t="s">
        <v>539</v>
      </c>
    </row>
    <row r="1199" spans="1:10">
      <c r="A1199" t="s">
        <v>1542</v>
      </c>
      <c r="B1199" t="b">
        <v>0</v>
      </c>
      <c r="H1199" t="s">
        <v>302</v>
      </c>
      <c r="I1199" t="s">
        <v>300</v>
      </c>
      <c r="J1199" t="s">
        <v>539</v>
      </c>
    </row>
    <row r="1200" spans="1:10">
      <c r="A1200" t="s">
        <v>1543</v>
      </c>
      <c r="B1200" t="b">
        <v>0</v>
      </c>
      <c r="C1200" t="s">
        <v>340</v>
      </c>
      <c r="D1200" t="s">
        <v>340</v>
      </c>
      <c r="E1200" t="s">
        <v>340</v>
      </c>
      <c r="H1200" t="s">
        <v>302</v>
      </c>
      <c r="I1200" t="s">
        <v>300</v>
      </c>
      <c r="J1200" t="s">
        <v>539</v>
      </c>
    </row>
    <row r="1201" spans="1:10">
      <c r="A1201" t="s">
        <v>1544</v>
      </c>
      <c r="B1201" t="b">
        <v>0</v>
      </c>
      <c r="H1201" t="s">
        <v>302</v>
      </c>
      <c r="I1201" t="s">
        <v>300</v>
      </c>
      <c r="J1201" t="s">
        <v>539</v>
      </c>
    </row>
    <row r="1202" spans="1:10">
      <c r="A1202" t="s">
        <v>1545</v>
      </c>
      <c r="B1202" t="b">
        <v>0</v>
      </c>
      <c r="H1202" t="s">
        <v>302</v>
      </c>
      <c r="I1202" t="s">
        <v>300</v>
      </c>
      <c r="J1202" t="s">
        <v>539</v>
      </c>
    </row>
    <row r="1203" spans="1:10">
      <c r="A1203" t="s">
        <v>1546</v>
      </c>
      <c r="B1203" t="b">
        <v>0</v>
      </c>
      <c r="H1203" t="s">
        <v>302</v>
      </c>
      <c r="I1203" t="s">
        <v>300</v>
      </c>
      <c r="J1203" t="s">
        <v>539</v>
      </c>
    </row>
    <row r="1204" spans="1:10">
      <c r="A1204" t="s">
        <v>1547</v>
      </c>
      <c r="B1204" t="b">
        <v>0</v>
      </c>
      <c r="H1204" t="s">
        <v>302</v>
      </c>
      <c r="I1204" t="s">
        <v>300</v>
      </c>
      <c r="J1204" t="s">
        <v>518</v>
      </c>
    </row>
    <row r="1205" spans="1:10">
      <c r="A1205" t="s">
        <v>1548</v>
      </c>
      <c r="B1205" t="b">
        <v>0</v>
      </c>
      <c r="H1205" t="s">
        <v>302</v>
      </c>
      <c r="I1205" t="s">
        <v>300</v>
      </c>
      <c r="J1205" t="s">
        <v>518</v>
      </c>
    </row>
    <row r="1206" spans="1:10">
      <c r="A1206" t="s">
        <v>1549</v>
      </c>
      <c r="B1206" t="b">
        <v>0</v>
      </c>
      <c r="H1206" t="s">
        <v>302</v>
      </c>
      <c r="I1206" t="s">
        <v>300</v>
      </c>
      <c r="J1206" t="s">
        <v>518</v>
      </c>
    </row>
    <row r="1207" spans="1:10">
      <c r="A1207" t="s">
        <v>1550</v>
      </c>
      <c r="B1207" t="b">
        <v>0</v>
      </c>
      <c r="H1207" t="s">
        <v>302</v>
      </c>
      <c r="I1207" t="s">
        <v>300</v>
      </c>
      <c r="J1207" t="s">
        <v>518</v>
      </c>
    </row>
    <row r="1208" spans="1:10">
      <c r="A1208" t="s">
        <v>1551</v>
      </c>
      <c r="B1208" t="b">
        <v>0</v>
      </c>
      <c r="H1208" t="s">
        <v>302</v>
      </c>
      <c r="I1208" t="s">
        <v>300</v>
      </c>
      <c r="J1208" t="s">
        <v>304</v>
      </c>
    </row>
    <row r="1209" spans="1:10">
      <c r="A1209" t="s">
        <v>1552</v>
      </c>
      <c r="B1209" t="b">
        <v>0</v>
      </c>
      <c r="H1209" t="s">
        <v>302</v>
      </c>
      <c r="I1209" t="s">
        <v>300</v>
      </c>
      <c r="J1209" t="s">
        <v>304</v>
      </c>
    </row>
    <row r="1210" spans="1:10">
      <c r="A1210" t="s">
        <v>1553</v>
      </c>
      <c r="B1210" t="b">
        <v>0</v>
      </c>
      <c r="H1210" t="s">
        <v>302</v>
      </c>
      <c r="I1210" t="s">
        <v>300</v>
      </c>
      <c r="J1210" t="s">
        <v>304</v>
      </c>
    </row>
    <row r="1211" spans="1:10">
      <c r="A1211" t="s">
        <v>1554</v>
      </c>
      <c r="B1211" t="b">
        <v>0</v>
      </c>
      <c r="H1211" t="s">
        <v>302</v>
      </c>
      <c r="I1211" t="s">
        <v>300</v>
      </c>
      <c r="J1211" t="s">
        <v>304</v>
      </c>
    </row>
    <row r="1212" spans="1:10">
      <c r="A1212" t="s">
        <v>1555</v>
      </c>
      <c r="B1212" t="b">
        <v>0</v>
      </c>
      <c r="H1212" t="s">
        <v>302</v>
      </c>
      <c r="I1212" t="s">
        <v>300</v>
      </c>
      <c r="J1212" t="s">
        <v>304</v>
      </c>
    </row>
    <row r="1213" spans="1:10">
      <c r="A1213" t="s">
        <v>1556</v>
      </c>
      <c r="B1213" t="b">
        <v>0</v>
      </c>
      <c r="H1213" t="s">
        <v>302</v>
      </c>
      <c r="I1213" t="s">
        <v>300</v>
      </c>
      <c r="J1213" t="s">
        <v>304</v>
      </c>
    </row>
    <row r="1214" spans="1:10">
      <c r="A1214" t="s">
        <v>1557</v>
      </c>
      <c r="B1214" t="b">
        <v>0</v>
      </c>
      <c r="H1214" t="s">
        <v>302</v>
      </c>
      <c r="I1214" t="s">
        <v>300</v>
      </c>
      <c r="J1214" t="s">
        <v>304</v>
      </c>
    </row>
    <row r="1215" spans="1:10">
      <c r="A1215" t="s">
        <v>1558</v>
      </c>
      <c r="B1215" t="b">
        <v>0</v>
      </c>
      <c r="H1215" t="s">
        <v>302</v>
      </c>
      <c r="I1215" t="s">
        <v>300</v>
      </c>
      <c r="J1215" t="s">
        <v>304</v>
      </c>
    </row>
    <row r="1216" spans="1:10">
      <c r="A1216" t="s">
        <v>1559</v>
      </c>
      <c r="B1216" t="b">
        <v>0</v>
      </c>
      <c r="H1216" t="s">
        <v>302</v>
      </c>
      <c r="I1216" t="s">
        <v>300</v>
      </c>
      <c r="J1216" t="s">
        <v>304</v>
      </c>
    </row>
    <row r="1217" spans="1:10">
      <c r="A1217" t="s">
        <v>1560</v>
      </c>
      <c r="B1217" t="b">
        <v>0</v>
      </c>
      <c r="H1217" t="s">
        <v>302</v>
      </c>
      <c r="I1217" t="s">
        <v>300</v>
      </c>
      <c r="J1217" t="s">
        <v>610</v>
      </c>
    </row>
    <row r="1218" spans="1:10">
      <c r="A1218" t="s">
        <v>1561</v>
      </c>
      <c r="B1218" t="b">
        <v>0</v>
      </c>
      <c r="H1218" t="s">
        <v>302</v>
      </c>
      <c r="I1218" t="s">
        <v>300</v>
      </c>
      <c r="J1218" t="s">
        <v>610</v>
      </c>
    </row>
    <row r="1219" spans="1:10">
      <c r="A1219" t="s">
        <v>1562</v>
      </c>
      <c r="B1219" t="b">
        <v>0</v>
      </c>
      <c r="H1219" t="s">
        <v>302</v>
      </c>
      <c r="I1219" t="s">
        <v>300</v>
      </c>
      <c r="J1219" t="s">
        <v>610</v>
      </c>
    </row>
    <row r="1220" spans="1:10">
      <c r="A1220" t="s">
        <v>1563</v>
      </c>
      <c r="B1220" t="b">
        <v>0</v>
      </c>
      <c r="H1220" t="s">
        <v>302</v>
      </c>
      <c r="I1220" t="s">
        <v>300</v>
      </c>
      <c r="J1220" t="s">
        <v>610</v>
      </c>
    </row>
    <row r="1221" spans="1:10">
      <c r="A1221" t="s">
        <v>1564</v>
      </c>
      <c r="B1221" t="b">
        <v>0</v>
      </c>
      <c r="H1221" t="s">
        <v>302</v>
      </c>
      <c r="I1221" t="s">
        <v>300</v>
      </c>
      <c r="J1221" t="s">
        <v>610</v>
      </c>
    </row>
    <row r="1222" spans="1:10">
      <c r="A1222" t="s">
        <v>1565</v>
      </c>
      <c r="B1222" t="b">
        <v>0</v>
      </c>
      <c r="H1222" t="s">
        <v>302</v>
      </c>
      <c r="I1222" t="s">
        <v>300</v>
      </c>
      <c r="J1222" t="s">
        <v>610</v>
      </c>
    </row>
    <row r="1223" spans="1:10">
      <c r="A1223" t="s">
        <v>1566</v>
      </c>
      <c r="B1223" t="b">
        <v>0</v>
      </c>
      <c r="H1223" t="s">
        <v>302</v>
      </c>
      <c r="I1223" t="s">
        <v>300</v>
      </c>
      <c r="J1223" t="s">
        <v>610</v>
      </c>
    </row>
    <row r="1224" spans="1:10">
      <c r="A1224" t="s">
        <v>1567</v>
      </c>
      <c r="B1224" t="b">
        <v>0</v>
      </c>
      <c r="H1224" t="s">
        <v>302</v>
      </c>
      <c r="I1224" t="s">
        <v>300</v>
      </c>
      <c r="J1224" t="s">
        <v>610</v>
      </c>
    </row>
    <row r="1225" spans="1:10">
      <c r="A1225" t="s">
        <v>1568</v>
      </c>
      <c r="B1225" t="b">
        <v>0</v>
      </c>
      <c r="H1225" t="s">
        <v>302</v>
      </c>
      <c r="I1225" t="s">
        <v>300</v>
      </c>
      <c r="J1225" t="s">
        <v>610</v>
      </c>
    </row>
    <row r="1226" spans="1:10">
      <c r="A1226" t="s">
        <v>1569</v>
      </c>
      <c r="B1226" t="b">
        <v>0</v>
      </c>
      <c r="H1226" t="s">
        <v>302</v>
      </c>
      <c r="I1226" t="s">
        <v>300</v>
      </c>
      <c r="J1226" t="s">
        <v>610</v>
      </c>
    </row>
    <row r="1227" spans="1:10">
      <c r="A1227" t="s">
        <v>1570</v>
      </c>
      <c r="B1227" t="b">
        <v>0</v>
      </c>
      <c r="H1227" t="s">
        <v>302</v>
      </c>
      <c r="I1227" t="s">
        <v>300</v>
      </c>
      <c r="J1227" t="s">
        <v>610</v>
      </c>
    </row>
    <row r="1228" spans="1:10">
      <c r="A1228" t="s">
        <v>1571</v>
      </c>
      <c r="B1228" t="b">
        <v>0</v>
      </c>
      <c r="H1228" t="s">
        <v>302</v>
      </c>
      <c r="I1228" t="s">
        <v>300</v>
      </c>
      <c r="J1228" t="s">
        <v>610</v>
      </c>
    </row>
    <row r="1229" spans="1:10">
      <c r="A1229" t="s">
        <v>1572</v>
      </c>
      <c r="B1229" t="b">
        <v>0</v>
      </c>
      <c r="H1229" t="s">
        <v>302</v>
      </c>
      <c r="I1229" t="s">
        <v>300</v>
      </c>
      <c r="J1229" t="s">
        <v>610</v>
      </c>
    </row>
    <row r="1230" spans="1:10">
      <c r="A1230" t="s">
        <v>1573</v>
      </c>
      <c r="B1230" t="b">
        <v>0</v>
      </c>
      <c r="H1230" t="s">
        <v>302</v>
      </c>
      <c r="I1230" t="s">
        <v>300</v>
      </c>
      <c r="J1230" t="s">
        <v>610</v>
      </c>
    </row>
    <row r="1231" spans="1:10">
      <c r="A1231" t="s">
        <v>1574</v>
      </c>
      <c r="B1231" t="b">
        <v>0</v>
      </c>
      <c r="H1231" t="s">
        <v>302</v>
      </c>
      <c r="I1231" t="s">
        <v>300</v>
      </c>
      <c r="J1231" t="s">
        <v>610</v>
      </c>
    </row>
    <row r="1232" spans="1:10">
      <c r="A1232" t="s">
        <v>1575</v>
      </c>
      <c r="B1232" t="b">
        <v>0</v>
      </c>
      <c r="H1232" t="s">
        <v>302</v>
      </c>
      <c r="I1232" t="s">
        <v>300</v>
      </c>
      <c r="J1232" t="s">
        <v>610</v>
      </c>
    </row>
    <row r="1233" spans="1:10">
      <c r="A1233" t="s">
        <v>1576</v>
      </c>
      <c r="B1233" t="b">
        <v>0</v>
      </c>
      <c r="H1233" t="s">
        <v>302</v>
      </c>
      <c r="I1233" t="s">
        <v>300</v>
      </c>
      <c r="J1233" t="s">
        <v>610</v>
      </c>
    </row>
    <row r="1234" spans="1:10">
      <c r="A1234" t="s">
        <v>1577</v>
      </c>
      <c r="B1234" t="b">
        <v>0</v>
      </c>
      <c r="H1234" t="s">
        <v>302</v>
      </c>
      <c r="I1234" t="s">
        <v>300</v>
      </c>
      <c r="J1234" t="s">
        <v>610</v>
      </c>
    </row>
    <row r="1235" spans="1:10">
      <c r="A1235" t="s">
        <v>1578</v>
      </c>
      <c r="B1235" t="b">
        <v>0</v>
      </c>
      <c r="H1235" t="s">
        <v>302</v>
      </c>
      <c r="I1235" t="s">
        <v>300</v>
      </c>
      <c r="J1235" t="s">
        <v>610</v>
      </c>
    </row>
    <row r="1236" spans="1:10">
      <c r="A1236" t="s">
        <v>1579</v>
      </c>
      <c r="B1236" t="b">
        <v>0</v>
      </c>
      <c r="H1236" t="s">
        <v>302</v>
      </c>
      <c r="I1236" t="s">
        <v>300</v>
      </c>
      <c r="J1236" t="s">
        <v>610</v>
      </c>
    </row>
    <row r="1237" spans="1:10">
      <c r="A1237" t="s">
        <v>1580</v>
      </c>
      <c r="B1237" t="b">
        <v>0</v>
      </c>
      <c r="H1237" t="s">
        <v>302</v>
      </c>
      <c r="I1237" t="s">
        <v>300</v>
      </c>
      <c r="J1237" t="s">
        <v>411</v>
      </c>
    </row>
    <row r="1238" spans="1:10">
      <c r="A1238" t="s">
        <v>1581</v>
      </c>
      <c r="B1238" t="b">
        <v>0</v>
      </c>
      <c r="H1238" t="s">
        <v>302</v>
      </c>
      <c r="I1238" t="s">
        <v>300</v>
      </c>
      <c r="J1238" t="s">
        <v>411</v>
      </c>
    </row>
    <row r="1239" spans="1:10">
      <c r="A1239" t="s">
        <v>1582</v>
      </c>
      <c r="B1239" t="b">
        <v>0</v>
      </c>
      <c r="H1239" t="s">
        <v>302</v>
      </c>
      <c r="I1239" t="s">
        <v>300</v>
      </c>
      <c r="J1239" t="s">
        <v>411</v>
      </c>
    </row>
    <row r="1240" spans="1:10">
      <c r="A1240" t="s">
        <v>1583</v>
      </c>
      <c r="B1240" t="b">
        <v>0</v>
      </c>
      <c r="H1240" t="s">
        <v>302</v>
      </c>
      <c r="I1240" t="s">
        <v>300</v>
      </c>
      <c r="J1240" t="s">
        <v>411</v>
      </c>
    </row>
    <row r="1241" spans="1:10">
      <c r="A1241" t="s">
        <v>1584</v>
      </c>
      <c r="B1241" t="b">
        <v>0</v>
      </c>
      <c r="H1241" t="s">
        <v>302</v>
      </c>
      <c r="I1241" t="s">
        <v>300</v>
      </c>
      <c r="J1241" t="s">
        <v>411</v>
      </c>
    </row>
    <row r="1242" spans="1:10">
      <c r="A1242" t="s">
        <v>1585</v>
      </c>
      <c r="B1242" t="b">
        <v>0</v>
      </c>
      <c r="H1242" t="s">
        <v>302</v>
      </c>
      <c r="I1242" t="s">
        <v>300</v>
      </c>
      <c r="J1242" t="s">
        <v>411</v>
      </c>
    </row>
    <row r="1243" spans="1:10">
      <c r="A1243" t="s">
        <v>1586</v>
      </c>
      <c r="B1243" t="b">
        <v>0</v>
      </c>
      <c r="H1243" t="s">
        <v>302</v>
      </c>
      <c r="I1243" t="s">
        <v>300</v>
      </c>
      <c r="J1243" t="s">
        <v>411</v>
      </c>
    </row>
    <row r="1244" spans="1:10">
      <c r="A1244" t="s">
        <v>1587</v>
      </c>
      <c r="B1244" t="b">
        <v>0</v>
      </c>
      <c r="H1244" t="s">
        <v>302</v>
      </c>
      <c r="I1244" t="s">
        <v>300</v>
      </c>
      <c r="J1244" t="s">
        <v>411</v>
      </c>
    </row>
    <row r="1245" spans="1:10">
      <c r="A1245" t="s">
        <v>1588</v>
      </c>
      <c r="B1245" t="b">
        <v>0</v>
      </c>
      <c r="H1245" t="s">
        <v>302</v>
      </c>
      <c r="I1245" t="s">
        <v>300</v>
      </c>
      <c r="J1245" t="s">
        <v>411</v>
      </c>
    </row>
    <row r="1246" spans="1:10">
      <c r="A1246" t="s">
        <v>1589</v>
      </c>
      <c r="B1246" t="b">
        <v>0</v>
      </c>
      <c r="H1246" t="s">
        <v>302</v>
      </c>
      <c r="I1246" t="s">
        <v>300</v>
      </c>
      <c r="J1246" t="s">
        <v>411</v>
      </c>
    </row>
    <row r="1247" spans="1:10">
      <c r="A1247" t="s">
        <v>1590</v>
      </c>
      <c r="B1247" t="b">
        <v>0</v>
      </c>
      <c r="H1247" t="s">
        <v>302</v>
      </c>
      <c r="I1247" t="s">
        <v>300</v>
      </c>
      <c r="J1247" t="s">
        <v>411</v>
      </c>
    </row>
    <row r="1248" spans="1:10">
      <c r="A1248" t="s">
        <v>1591</v>
      </c>
      <c r="B1248" t="b">
        <v>0</v>
      </c>
      <c r="H1248" t="s">
        <v>302</v>
      </c>
      <c r="I1248" t="s">
        <v>300</v>
      </c>
      <c r="J1248" t="s">
        <v>411</v>
      </c>
    </row>
    <row r="1249" spans="1:10">
      <c r="A1249" t="s">
        <v>1592</v>
      </c>
      <c r="B1249" t="b">
        <v>0</v>
      </c>
      <c r="H1249" t="s">
        <v>302</v>
      </c>
      <c r="I1249" t="s">
        <v>300</v>
      </c>
      <c r="J1249" t="s">
        <v>411</v>
      </c>
    </row>
    <row r="1250" spans="1:10">
      <c r="A1250" t="s">
        <v>1593</v>
      </c>
      <c r="B1250" t="b">
        <v>0</v>
      </c>
      <c r="H1250" t="s">
        <v>302</v>
      </c>
      <c r="I1250" t="s">
        <v>300</v>
      </c>
      <c r="J1250" t="s">
        <v>411</v>
      </c>
    </row>
    <row r="1251" spans="1:10">
      <c r="A1251" t="s">
        <v>1594</v>
      </c>
      <c r="B1251" t="b">
        <v>0</v>
      </c>
      <c r="H1251" t="s">
        <v>302</v>
      </c>
      <c r="I1251" t="s">
        <v>300</v>
      </c>
      <c r="J1251" t="s">
        <v>411</v>
      </c>
    </row>
    <row r="1252" spans="1:10">
      <c r="A1252" t="s">
        <v>1595</v>
      </c>
      <c r="B1252" t="b">
        <v>0</v>
      </c>
      <c r="H1252" t="s">
        <v>302</v>
      </c>
      <c r="I1252" t="s">
        <v>300</v>
      </c>
      <c r="J1252" t="s">
        <v>411</v>
      </c>
    </row>
    <row r="1253" spans="1:10">
      <c r="A1253" t="s">
        <v>1596</v>
      </c>
      <c r="B1253" t="b">
        <v>0</v>
      </c>
      <c r="H1253" t="s">
        <v>302</v>
      </c>
      <c r="I1253" t="s">
        <v>300</v>
      </c>
      <c r="J1253" t="s">
        <v>539</v>
      </c>
    </row>
    <row r="1254" spans="1:10">
      <c r="A1254" t="s">
        <v>1597</v>
      </c>
      <c r="B1254" t="b">
        <v>0</v>
      </c>
      <c r="H1254" t="s">
        <v>302</v>
      </c>
      <c r="I1254" t="s">
        <v>300</v>
      </c>
      <c r="J1254" t="s">
        <v>539</v>
      </c>
    </row>
    <row r="1255" spans="1:10">
      <c r="A1255" t="s">
        <v>1598</v>
      </c>
      <c r="B1255" t="b">
        <v>0</v>
      </c>
      <c r="H1255" t="s">
        <v>302</v>
      </c>
      <c r="I1255" t="s">
        <v>300</v>
      </c>
      <c r="J1255" t="s">
        <v>539</v>
      </c>
    </row>
    <row r="1256" spans="1:10">
      <c r="A1256" t="s">
        <v>1599</v>
      </c>
      <c r="B1256" t="b">
        <v>0</v>
      </c>
      <c r="H1256" t="s">
        <v>302</v>
      </c>
      <c r="I1256" t="s">
        <v>300</v>
      </c>
      <c r="J1256" t="s">
        <v>539</v>
      </c>
    </row>
    <row r="1257" spans="1:10">
      <c r="A1257" t="s">
        <v>1600</v>
      </c>
      <c r="B1257" t="b">
        <v>0</v>
      </c>
      <c r="H1257" t="s">
        <v>302</v>
      </c>
      <c r="I1257" t="s">
        <v>300</v>
      </c>
      <c r="J1257" t="s">
        <v>539</v>
      </c>
    </row>
    <row r="1258" spans="1:10">
      <c r="A1258" t="s">
        <v>1601</v>
      </c>
      <c r="B1258" t="b">
        <v>0</v>
      </c>
      <c r="H1258" t="s">
        <v>302</v>
      </c>
      <c r="I1258" t="s">
        <v>300</v>
      </c>
      <c r="J1258" t="s">
        <v>539</v>
      </c>
    </row>
    <row r="1259" spans="1:10">
      <c r="A1259" t="s">
        <v>1602</v>
      </c>
      <c r="B1259" t="b">
        <v>0</v>
      </c>
      <c r="H1259" t="s">
        <v>302</v>
      </c>
      <c r="I1259" t="s">
        <v>300</v>
      </c>
      <c r="J1259" t="s">
        <v>539</v>
      </c>
    </row>
    <row r="1260" spans="1:10">
      <c r="A1260" t="s">
        <v>1603</v>
      </c>
      <c r="B1260" t="b">
        <v>0</v>
      </c>
      <c r="H1260" t="s">
        <v>302</v>
      </c>
      <c r="I1260" t="s">
        <v>300</v>
      </c>
      <c r="J1260" t="s">
        <v>539</v>
      </c>
    </row>
    <row r="1261" spans="1:10">
      <c r="A1261" t="s">
        <v>1604</v>
      </c>
      <c r="B1261" t="b">
        <v>0</v>
      </c>
      <c r="H1261" t="s">
        <v>302</v>
      </c>
      <c r="I1261" t="s">
        <v>300</v>
      </c>
      <c r="J1261" t="s">
        <v>539</v>
      </c>
    </row>
    <row r="1262" spans="1:10">
      <c r="A1262" t="s">
        <v>1605</v>
      </c>
      <c r="B1262" t="b">
        <v>0</v>
      </c>
      <c r="H1262" t="s">
        <v>302</v>
      </c>
      <c r="I1262" t="s">
        <v>300</v>
      </c>
      <c r="J1262" t="s">
        <v>539</v>
      </c>
    </row>
    <row r="1263" spans="1:10">
      <c r="A1263" t="s">
        <v>1606</v>
      </c>
      <c r="B1263" t="b">
        <v>0</v>
      </c>
      <c r="H1263" t="s">
        <v>302</v>
      </c>
      <c r="I1263" t="s">
        <v>300</v>
      </c>
      <c r="J1263" t="s">
        <v>539</v>
      </c>
    </row>
    <row r="1264" spans="1:10">
      <c r="A1264" t="s">
        <v>1607</v>
      </c>
      <c r="B1264" t="b">
        <v>0</v>
      </c>
      <c r="H1264" t="s">
        <v>302</v>
      </c>
      <c r="I1264" t="s">
        <v>300</v>
      </c>
      <c r="J1264" t="s">
        <v>539</v>
      </c>
    </row>
    <row r="1265" spans="1:11">
      <c r="A1265" t="s">
        <v>1608</v>
      </c>
      <c r="B1265" t="b">
        <v>0</v>
      </c>
      <c r="H1265" t="s">
        <v>302</v>
      </c>
      <c r="I1265" t="s">
        <v>300</v>
      </c>
      <c r="J1265" t="s">
        <v>539</v>
      </c>
    </row>
    <row r="1266" spans="1:11">
      <c r="A1266" t="s">
        <v>1609</v>
      </c>
      <c r="B1266" t="b">
        <v>0</v>
      </c>
      <c r="H1266" t="s">
        <v>302</v>
      </c>
      <c r="I1266" t="s">
        <v>300</v>
      </c>
      <c r="J1266" t="s">
        <v>539</v>
      </c>
    </row>
    <row r="1267" spans="1:11">
      <c r="A1267" t="s">
        <v>1610</v>
      </c>
      <c r="B1267" t="b">
        <v>0</v>
      </c>
      <c r="H1267" t="s">
        <v>302</v>
      </c>
      <c r="I1267" t="s">
        <v>300</v>
      </c>
      <c r="J1267" t="s">
        <v>539</v>
      </c>
    </row>
    <row r="1268" spans="1:11">
      <c r="A1268" t="s">
        <v>1611</v>
      </c>
      <c r="B1268" t="b">
        <v>0</v>
      </c>
      <c r="H1268" t="s">
        <v>302</v>
      </c>
      <c r="I1268" t="s">
        <v>300</v>
      </c>
      <c r="J1268" t="s">
        <v>539</v>
      </c>
    </row>
    <row r="1269" spans="1:11">
      <c r="A1269" t="s">
        <v>1612</v>
      </c>
      <c r="B1269" t="b">
        <v>0</v>
      </c>
      <c r="H1269" t="s">
        <v>302</v>
      </c>
      <c r="I1269" t="s">
        <v>300</v>
      </c>
      <c r="J1269" t="s">
        <v>539</v>
      </c>
    </row>
    <row r="1270" spans="1:11">
      <c r="A1270" t="s">
        <v>1613</v>
      </c>
      <c r="B1270" t="b">
        <v>0</v>
      </c>
      <c r="C1270" t="s">
        <v>301</v>
      </c>
      <c r="D1270" t="s">
        <v>301</v>
      </c>
      <c r="E1270" t="s">
        <v>301</v>
      </c>
      <c r="H1270" t="s">
        <v>301</v>
      </c>
      <c r="I1270" t="s">
        <v>300</v>
      </c>
      <c r="J1270" t="s">
        <v>958</v>
      </c>
      <c r="K1270">
        <v>3000</v>
      </c>
    </row>
    <row r="1271" spans="1:11">
      <c r="A1271" t="s">
        <v>1614</v>
      </c>
      <c r="B1271" t="b">
        <v>0</v>
      </c>
      <c r="C1271" t="s">
        <v>301</v>
      </c>
      <c r="D1271" t="s">
        <v>322</v>
      </c>
      <c r="E1271" t="s">
        <v>323</v>
      </c>
      <c r="H1271" t="s">
        <v>301</v>
      </c>
      <c r="I1271" t="s">
        <v>300</v>
      </c>
      <c r="J1271" t="s">
        <v>958</v>
      </c>
      <c r="K1271">
        <v>3000</v>
      </c>
    </row>
    <row r="1272" spans="1:11">
      <c r="A1272" t="s">
        <v>1615</v>
      </c>
      <c r="B1272" t="b">
        <v>0</v>
      </c>
      <c r="C1272" t="s">
        <v>340</v>
      </c>
      <c r="D1272" t="s">
        <v>340</v>
      </c>
      <c r="E1272" t="s">
        <v>340</v>
      </c>
      <c r="H1272" t="s">
        <v>340</v>
      </c>
      <c r="I1272" t="s">
        <v>300</v>
      </c>
      <c r="J1272" t="s">
        <v>958</v>
      </c>
      <c r="K1272">
        <v>3000</v>
      </c>
    </row>
    <row r="1273" spans="1:11">
      <c r="A1273" t="s">
        <v>1616</v>
      </c>
      <c r="B1273" t="b">
        <v>0</v>
      </c>
      <c r="C1273" t="s">
        <v>353</v>
      </c>
      <c r="D1273" t="s">
        <v>927</v>
      </c>
      <c r="E1273" t="s">
        <v>353</v>
      </c>
      <c r="H1273" t="s">
        <v>301</v>
      </c>
      <c r="I1273" t="s">
        <v>300</v>
      </c>
      <c r="J1273" t="s">
        <v>958</v>
      </c>
      <c r="K1273">
        <v>3000</v>
      </c>
    </row>
    <row r="1274" spans="1:11">
      <c r="A1274" t="s">
        <v>1617</v>
      </c>
      <c r="B1274" t="b">
        <v>0</v>
      </c>
      <c r="C1274" t="s">
        <v>301</v>
      </c>
      <c r="D1274" t="s">
        <v>322</v>
      </c>
      <c r="E1274" t="s">
        <v>323</v>
      </c>
      <c r="F1274" t="s">
        <v>963</v>
      </c>
      <c r="H1274" t="s">
        <v>301</v>
      </c>
      <c r="I1274" t="s">
        <v>300</v>
      </c>
      <c r="J1274" t="s">
        <v>958</v>
      </c>
      <c r="K1274">
        <v>3000</v>
      </c>
    </row>
    <row r="1275" spans="1:11">
      <c r="A1275" t="s">
        <v>1618</v>
      </c>
      <c r="B1275" t="b">
        <v>0</v>
      </c>
      <c r="C1275" t="s">
        <v>353</v>
      </c>
      <c r="D1275" t="s">
        <v>927</v>
      </c>
      <c r="E1275" t="s">
        <v>353</v>
      </c>
      <c r="H1275" t="s">
        <v>301</v>
      </c>
      <c r="I1275" t="s">
        <v>300</v>
      </c>
      <c r="J1275" t="s">
        <v>958</v>
      </c>
      <c r="K1275">
        <v>3000</v>
      </c>
    </row>
    <row r="1276" spans="1:11">
      <c r="A1276" t="s">
        <v>1619</v>
      </c>
      <c r="B1276" t="b">
        <v>0</v>
      </c>
      <c r="H1276" t="s">
        <v>302</v>
      </c>
      <c r="I1276" t="s">
        <v>300</v>
      </c>
      <c r="J1276" t="s">
        <v>958</v>
      </c>
      <c r="K1276">
        <v>3000</v>
      </c>
    </row>
    <row r="1277" spans="1:11">
      <c r="A1277" t="s">
        <v>1620</v>
      </c>
      <c r="B1277" t="b">
        <v>0</v>
      </c>
      <c r="C1277" t="s">
        <v>330</v>
      </c>
      <c r="D1277" t="s">
        <v>322</v>
      </c>
      <c r="E1277" t="s">
        <v>330</v>
      </c>
      <c r="F1277" t="s">
        <v>967</v>
      </c>
      <c r="H1277" t="s">
        <v>301</v>
      </c>
      <c r="I1277" t="s">
        <v>300</v>
      </c>
      <c r="J1277" t="s">
        <v>958</v>
      </c>
      <c r="K1277">
        <v>3000</v>
      </c>
    </row>
    <row r="1278" spans="1:11">
      <c r="A1278" t="s">
        <v>1621</v>
      </c>
      <c r="B1278" t="b">
        <v>0</v>
      </c>
      <c r="C1278" t="s">
        <v>301</v>
      </c>
      <c r="D1278" t="s">
        <v>389</v>
      </c>
      <c r="E1278" t="s">
        <v>301</v>
      </c>
      <c r="H1278" t="s">
        <v>301</v>
      </c>
      <c r="I1278" t="s">
        <v>300</v>
      </c>
      <c r="J1278" t="s">
        <v>958</v>
      </c>
      <c r="K1278">
        <v>3000</v>
      </c>
    </row>
    <row r="1279" spans="1:11">
      <c r="A1279" t="s">
        <v>1622</v>
      </c>
      <c r="B1279" t="b">
        <v>0</v>
      </c>
      <c r="C1279" t="s">
        <v>376</v>
      </c>
      <c r="D1279" t="s">
        <v>322</v>
      </c>
      <c r="E1279" t="s">
        <v>376</v>
      </c>
      <c r="H1279" t="s">
        <v>302</v>
      </c>
      <c r="I1279" t="s">
        <v>300</v>
      </c>
      <c r="J1279" t="s">
        <v>958</v>
      </c>
      <c r="K1279">
        <v>3000</v>
      </c>
    </row>
    <row r="1280" spans="1:11">
      <c r="A1280" t="s">
        <v>1623</v>
      </c>
      <c r="B1280" t="b">
        <v>0</v>
      </c>
      <c r="C1280" t="s">
        <v>376</v>
      </c>
      <c r="D1280" t="s">
        <v>322</v>
      </c>
      <c r="E1280" t="s">
        <v>323</v>
      </c>
      <c r="H1280" t="s">
        <v>302</v>
      </c>
      <c r="I1280" t="s">
        <v>300</v>
      </c>
      <c r="J1280" t="s">
        <v>958</v>
      </c>
      <c r="K1280">
        <v>3000</v>
      </c>
    </row>
    <row r="1281" spans="1:11">
      <c r="A1281" t="s">
        <v>1624</v>
      </c>
      <c r="B1281" t="b">
        <v>0</v>
      </c>
      <c r="C1281" t="s">
        <v>301</v>
      </c>
      <c r="D1281" t="s">
        <v>301</v>
      </c>
      <c r="E1281" t="s">
        <v>323</v>
      </c>
      <c r="H1281" t="s">
        <v>302</v>
      </c>
      <c r="I1281" t="s">
        <v>300</v>
      </c>
      <c r="J1281" t="s">
        <v>958</v>
      </c>
      <c r="K1281">
        <v>3000</v>
      </c>
    </row>
    <row r="1282" spans="1:11">
      <c r="A1282" t="s">
        <v>1625</v>
      </c>
      <c r="B1282" t="b">
        <v>0</v>
      </c>
      <c r="C1282" t="s">
        <v>376</v>
      </c>
      <c r="D1282" t="s">
        <v>322</v>
      </c>
      <c r="E1282" t="s">
        <v>376</v>
      </c>
      <c r="H1282" t="s">
        <v>302</v>
      </c>
      <c r="I1282" t="s">
        <v>300</v>
      </c>
      <c r="J1282" t="s">
        <v>958</v>
      </c>
      <c r="K1282">
        <v>3000</v>
      </c>
    </row>
    <row r="1283" spans="1:11">
      <c r="A1283" t="s">
        <v>1626</v>
      </c>
      <c r="B1283" t="b">
        <v>0</v>
      </c>
      <c r="C1283" t="s">
        <v>340</v>
      </c>
      <c r="D1283" t="s">
        <v>340</v>
      </c>
      <c r="E1283" t="s">
        <v>323</v>
      </c>
      <c r="H1283" t="s">
        <v>302</v>
      </c>
      <c r="I1283" t="s">
        <v>300</v>
      </c>
      <c r="J1283" t="s">
        <v>958</v>
      </c>
      <c r="K1283">
        <v>3000</v>
      </c>
    </row>
    <row r="1284" spans="1:11">
      <c r="A1284" t="s">
        <v>1627</v>
      </c>
      <c r="B1284" t="b">
        <v>0</v>
      </c>
      <c r="C1284" t="s">
        <v>340</v>
      </c>
      <c r="D1284" t="s">
        <v>340</v>
      </c>
      <c r="E1284" t="s">
        <v>340</v>
      </c>
      <c r="H1284" t="s">
        <v>302</v>
      </c>
      <c r="I1284" t="s">
        <v>300</v>
      </c>
      <c r="J1284" t="s">
        <v>958</v>
      </c>
      <c r="K1284">
        <v>3000</v>
      </c>
    </row>
    <row r="1285" spans="1:11">
      <c r="A1285" t="s">
        <v>1628</v>
      </c>
      <c r="B1285" t="b">
        <v>0</v>
      </c>
      <c r="C1285" t="s">
        <v>977</v>
      </c>
      <c r="D1285" t="s">
        <v>340</v>
      </c>
      <c r="E1285" t="s">
        <v>340</v>
      </c>
      <c r="H1285" t="s">
        <v>302</v>
      </c>
      <c r="I1285" t="s">
        <v>300</v>
      </c>
      <c r="J1285" t="s">
        <v>958</v>
      </c>
      <c r="K1285">
        <v>3000</v>
      </c>
    </row>
    <row r="1286" spans="1:11">
      <c r="A1286" t="s">
        <v>1629</v>
      </c>
      <c r="B1286" t="b">
        <v>0</v>
      </c>
      <c r="H1286" t="s">
        <v>302</v>
      </c>
      <c r="I1286" t="s">
        <v>300</v>
      </c>
      <c r="J1286" t="s">
        <v>304</v>
      </c>
    </row>
    <row r="1287" spans="1:11">
      <c r="A1287" t="s">
        <v>1630</v>
      </c>
      <c r="B1287" t="b">
        <v>0</v>
      </c>
      <c r="H1287" t="s">
        <v>302</v>
      </c>
      <c r="I1287" t="s">
        <v>300</v>
      </c>
      <c r="J1287" t="s">
        <v>304</v>
      </c>
    </row>
    <row r="1288" spans="1:11">
      <c r="A1288" t="s">
        <v>1631</v>
      </c>
      <c r="B1288" t="b">
        <v>0</v>
      </c>
      <c r="H1288" t="s">
        <v>302</v>
      </c>
      <c r="I1288" t="s">
        <v>300</v>
      </c>
      <c r="J1288" t="s">
        <v>304</v>
      </c>
    </row>
    <row r="1289" spans="1:11">
      <c r="A1289" t="s">
        <v>1632</v>
      </c>
      <c r="B1289" t="b">
        <v>0</v>
      </c>
      <c r="H1289" t="s">
        <v>302</v>
      </c>
      <c r="I1289" t="s">
        <v>300</v>
      </c>
      <c r="J1289" t="s">
        <v>304</v>
      </c>
    </row>
    <row r="1290" spans="1:11">
      <c r="A1290" t="s">
        <v>1633</v>
      </c>
      <c r="B1290" t="b">
        <v>0</v>
      </c>
      <c r="H1290" t="s">
        <v>302</v>
      </c>
      <c r="I1290" t="s">
        <v>300</v>
      </c>
      <c r="J1290" t="s">
        <v>304</v>
      </c>
    </row>
    <row r="1291" spans="1:11">
      <c r="A1291" t="s">
        <v>1634</v>
      </c>
      <c r="B1291" t="b">
        <v>0</v>
      </c>
      <c r="H1291" t="s">
        <v>302</v>
      </c>
      <c r="I1291" t="s">
        <v>300</v>
      </c>
      <c r="J1291" t="s">
        <v>304</v>
      </c>
    </row>
    <row r="1292" spans="1:11">
      <c r="A1292" t="s">
        <v>1635</v>
      </c>
      <c r="B1292" t="b">
        <v>0</v>
      </c>
      <c r="H1292" t="s">
        <v>302</v>
      </c>
      <c r="I1292" t="s">
        <v>300</v>
      </c>
      <c r="J1292" t="s">
        <v>304</v>
      </c>
    </row>
    <row r="1293" spans="1:11">
      <c r="A1293" t="s">
        <v>1636</v>
      </c>
      <c r="B1293" t="b">
        <v>0</v>
      </c>
      <c r="H1293" t="s">
        <v>302</v>
      </c>
      <c r="I1293" t="s">
        <v>300</v>
      </c>
      <c r="J1293" t="s">
        <v>304</v>
      </c>
    </row>
    <row r="1294" spans="1:11">
      <c r="A1294" t="s">
        <v>1637</v>
      </c>
      <c r="B1294" t="b">
        <v>0</v>
      </c>
      <c r="H1294" t="s">
        <v>302</v>
      </c>
      <c r="I1294" t="s">
        <v>300</v>
      </c>
      <c r="J1294" t="s">
        <v>304</v>
      </c>
    </row>
    <row r="1295" spans="1:11">
      <c r="A1295" t="s">
        <v>1638</v>
      </c>
      <c r="B1295" t="b">
        <v>0</v>
      </c>
      <c r="H1295" t="s">
        <v>302</v>
      </c>
      <c r="I1295" t="s">
        <v>300</v>
      </c>
      <c r="J1295" t="s">
        <v>304</v>
      </c>
    </row>
    <row r="1296" spans="1:11">
      <c r="A1296" t="s">
        <v>1639</v>
      </c>
      <c r="B1296" t="b">
        <v>0</v>
      </c>
      <c r="H1296" t="s">
        <v>302</v>
      </c>
      <c r="I1296" t="s">
        <v>300</v>
      </c>
      <c r="J1296" t="s">
        <v>539</v>
      </c>
    </row>
    <row r="1297" spans="1:11">
      <c r="A1297" t="s">
        <v>1640</v>
      </c>
      <c r="B1297" t="b">
        <v>0</v>
      </c>
      <c r="H1297" t="s">
        <v>302</v>
      </c>
      <c r="I1297" t="s">
        <v>300</v>
      </c>
      <c r="J1297" t="s">
        <v>325</v>
      </c>
      <c r="K1297">
        <v>3000</v>
      </c>
    </row>
    <row r="1298" spans="1:11">
      <c r="A1298" t="s">
        <v>1641</v>
      </c>
      <c r="B1298" t="b">
        <v>0</v>
      </c>
      <c r="H1298" t="s">
        <v>302</v>
      </c>
      <c r="I1298" t="s">
        <v>300</v>
      </c>
      <c r="J1298" t="s">
        <v>325</v>
      </c>
      <c r="K1298">
        <v>3000</v>
      </c>
    </row>
    <row r="1299" spans="1:11">
      <c r="A1299" t="s">
        <v>1642</v>
      </c>
      <c r="B1299" t="b">
        <v>0</v>
      </c>
      <c r="C1299" t="s">
        <v>301</v>
      </c>
      <c r="D1299" t="s">
        <v>301</v>
      </c>
      <c r="E1299" t="s">
        <v>301</v>
      </c>
      <c r="H1299" t="s">
        <v>302</v>
      </c>
      <c r="I1299" t="s">
        <v>300</v>
      </c>
      <c r="J1299" t="s">
        <v>325</v>
      </c>
      <c r="K1299">
        <v>3000</v>
      </c>
    </row>
    <row r="1300" spans="1:11">
      <c r="A1300" t="s">
        <v>1643</v>
      </c>
      <c r="B1300" t="b">
        <v>0</v>
      </c>
      <c r="H1300" t="s">
        <v>302</v>
      </c>
      <c r="I1300" t="s">
        <v>300</v>
      </c>
      <c r="J1300" t="s">
        <v>325</v>
      </c>
      <c r="K1300">
        <v>3000</v>
      </c>
    </row>
    <row r="1301" spans="1:11">
      <c r="A1301" t="s">
        <v>1644</v>
      </c>
      <c r="B1301" t="b">
        <v>0</v>
      </c>
      <c r="C1301" t="s">
        <v>330</v>
      </c>
      <c r="D1301" t="s">
        <v>322</v>
      </c>
      <c r="E1301" t="s">
        <v>1003</v>
      </c>
      <c r="H1301" t="s">
        <v>302</v>
      </c>
      <c r="I1301" t="s">
        <v>300</v>
      </c>
      <c r="J1301" t="s">
        <v>325</v>
      </c>
      <c r="K1301">
        <v>3000</v>
      </c>
    </row>
    <row r="1302" spans="1:11">
      <c r="A1302" t="s">
        <v>1645</v>
      </c>
      <c r="B1302" t="b">
        <v>0</v>
      </c>
      <c r="C1302" t="s">
        <v>301</v>
      </c>
      <c r="D1302" t="s">
        <v>322</v>
      </c>
      <c r="E1302" t="s">
        <v>1003</v>
      </c>
      <c r="H1302" t="s">
        <v>302</v>
      </c>
      <c r="I1302" t="s">
        <v>300</v>
      </c>
      <c r="J1302" t="s">
        <v>325</v>
      </c>
      <c r="K1302">
        <v>3000</v>
      </c>
    </row>
    <row r="1303" spans="1:11">
      <c r="A1303" t="s">
        <v>1646</v>
      </c>
      <c r="B1303" t="b">
        <v>0</v>
      </c>
      <c r="H1303" t="s">
        <v>302</v>
      </c>
      <c r="I1303" t="s">
        <v>300</v>
      </c>
      <c r="J1303" t="s">
        <v>325</v>
      </c>
      <c r="K1303">
        <v>3000</v>
      </c>
    </row>
    <row r="1304" spans="1:11">
      <c r="A1304" t="s">
        <v>1647</v>
      </c>
      <c r="B1304" t="b">
        <v>0</v>
      </c>
      <c r="C1304" t="s">
        <v>340</v>
      </c>
      <c r="D1304" t="s">
        <v>322</v>
      </c>
      <c r="E1304" t="s">
        <v>1003</v>
      </c>
      <c r="H1304" t="s">
        <v>302</v>
      </c>
      <c r="I1304" t="s">
        <v>300</v>
      </c>
      <c r="J1304" t="s">
        <v>325</v>
      </c>
      <c r="K1304">
        <v>3000</v>
      </c>
    </row>
    <row r="1305" spans="1:11">
      <c r="A1305" t="s">
        <v>1648</v>
      </c>
      <c r="B1305" t="b">
        <v>0</v>
      </c>
      <c r="C1305" t="s">
        <v>330</v>
      </c>
      <c r="D1305" t="s">
        <v>322</v>
      </c>
      <c r="E1305" t="s">
        <v>1003</v>
      </c>
      <c r="H1305" t="s">
        <v>302</v>
      </c>
      <c r="I1305" t="s">
        <v>300</v>
      </c>
      <c r="J1305" t="s">
        <v>325</v>
      </c>
      <c r="K1305">
        <v>3000</v>
      </c>
    </row>
    <row r="1306" spans="1:11">
      <c r="A1306" t="s">
        <v>1649</v>
      </c>
      <c r="B1306" t="b">
        <v>0</v>
      </c>
      <c r="C1306" t="s">
        <v>301</v>
      </c>
      <c r="D1306" t="s">
        <v>301</v>
      </c>
      <c r="E1306" t="s">
        <v>301</v>
      </c>
      <c r="H1306" t="s">
        <v>302</v>
      </c>
      <c r="I1306" t="s">
        <v>300</v>
      </c>
      <c r="J1306" t="s">
        <v>325</v>
      </c>
      <c r="K1306">
        <v>3000</v>
      </c>
    </row>
    <row r="1307" spans="1:11">
      <c r="A1307" t="s">
        <v>1650</v>
      </c>
      <c r="B1307" t="b">
        <v>0</v>
      </c>
      <c r="H1307" t="s">
        <v>302</v>
      </c>
      <c r="I1307" t="s">
        <v>300</v>
      </c>
      <c r="J1307" t="s">
        <v>325</v>
      </c>
      <c r="K1307">
        <v>3000</v>
      </c>
    </row>
    <row r="1308" spans="1:11">
      <c r="A1308" t="s">
        <v>1651</v>
      </c>
      <c r="B1308" t="b">
        <v>0</v>
      </c>
      <c r="H1308" t="s">
        <v>302</v>
      </c>
      <c r="I1308" t="s">
        <v>300</v>
      </c>
      <c r="J1308" t="s">
        <v>539</v>
      </c>
    </row>
    <row r="1309" spans="1:11">
      <c r="A1309" t="s">
        <v>1652</v>
      </c>
      <c r="B1309" t="b">
        <v>0</v>
      </c>
      <c r="C1309" t="s">
        <v>301</v>
      </c>
      <c r="D1309" t="s">
        <v>301</v>
      </c>
      <c r="E1309" t="s">
        <v>301</v>
      </c>
      <c r="H1309" t="s">
        <v>302</v>
      </c>
      <c r="I1309" t="s">
        <v>300</v>
      </c>
      <c r="J1309" t="s">
        <v>539</v>
      </c>
    </row>
    <row r="1310" spans="1:11">
      <c r="A1310" t="s">
        <v>1653</v>
      </c>
      <c r="B1310" t="b">
        <v>0</v>
      </c>
      <c r="H1310" t="s">
        <v>302</v>
      </c>
      <c r="I1310" t="s">
        <v>300</v>
      </c>
      <c r="J1310" t="s">
        <v>1004</v>
      </c>
      <c r="K1310">
        <v>3000</v>
      </c>
    </row>
    <row r="1311" spans="1:11">
      <c r="A1311" t="s">
        <v>1654</v>
      </c>
      <c r="B1311" t="b">
        <v>0</v>
      </c>
      <c r="H1311" t="s">
        <v>302</v>
      </c>
      <c r="I1311" t="s">
        <v>300</v>
      </c>
      <c r="J1311" t="s">
        <v>1004</v>
      </c>
      <c r="K1311">
        <v>3000</v>
      </c>
    </row>
    <row r="1312" spans="1:11">
      <c r="A1312" t="s">
        <v>1655</v>
      </c>
      <c r="B1312" t="b">
        <v>0</v>
      </c>
      <c r="H1312" t="s">
        <v>302</v>
      </c>
      <c r="I1312" t="s">
        <v>300</v>
      </c>
      <c r="J1312" t="s">
        <v>1004</v>
      </c>
      <c r="K1312">
        <v>3000</v>
      </c>
    </row>
    <row r="1313" spans="1:11">
      <c r="A1313" t="s">
        <v>1656</v>
      </c>
      <c r="B1313" t="b">
        <v>0</v>
      </c>
      <c r="H1313" t="s">
        <v>302</v>
      </c>
      <c r="I1313" t="s">
        <v>300</v>
      </c>
      <c r="J1313" t="s">
        <v>1004</v>
      </c>
      <c r="K1313">
        <v>3000</v>
      </c>
    </row>
    <row r="1314" spans="1:11">
      <c r="A1314" t="s">
        <v>1657</v>
      </c>
      <c r="B1314" t="b">
        <v>0</v>
      </c>
      <c r="H1314" t="s">
        <v>302</v>
      </c>
      <c r="I1314" t="s">
        <v>300</v>
      </c>
      <c r="J1314" t="s">
        <v>1004</v>
      </c>
      <c r="K1314">
        <v>3000</v>
      </c>
    </row>
    <row r="1315" spans="1:11">
      <c r="A1315" t="s">
        <v>1658</v>
      </c>
      <c r="B1315" t="b">
        <v>0</v>
      </c>
      <c r="C1315" t="s">
        <v>301</v>
      </c>
      <c r="E1315" t="s">
        <v>301</v>
      </c>
      <c r="G1315" t="s">
        <v>301</v>
      </c>
      <c r="H1315" t="s">
        <v>301</v>
      </c>
      <c r="I1315" t="s">
        <v>300</v>
      </c>
      <c r="J1315" t="s">
        <v>1004</v>
      </c>
      <c r="K1315">
        <v>3000</v>
      </c>
    </row>
    <row r="1316" spans="1:11">
      <c r="A1316" t="s">
        <v>1659</v>
      </c>
      <c r="B1316" t="b">
        <v>0</v>
      </c>
      <c r="H1316" t="s">
        <v>302</v>
      </c>
      <c r="I1316" t="s">
        <v>300</v>
      </c>
      <c r="J1316" t="s">
        <v>1004</v>
      </c>
      <c r="K1316">
        <v>3000</v>
      </c>
    </row>
    <row r="1317" spans="1:11">
      <c r="A1317" t="s">
        <v>1660</v>
      </c>
      <c r="B1317" t="b">
        <v>0</v>
      </c>
      <c r="H1317" t="s">
        <v>302</v>
      </c>
      <c r="I1317" t="s">
        <v>300</v>
      </c>
      <c r="J1317" t="s">
        <v>1004</v>
      </c>
      <c r="K1317">
        <v>3000</v>
      </c>
    </row>
    <row r="1318" spans="1:11">
      <c r="A1318" t="s">
        <v>1661</v>
      </c>
      <c r="B1318" t="b">
        <v>0</v>
      </c>
      <c r="H1318" t="s">
        <v>302</v>
      </c>
      <c r="I1318" t="s">
        <v>300</v>
      </c>
      <c r="J1318" t="s">
        <v>1004</v>
      </c>
      <c r="K1318">
        <v>3000</v>
      </c>
    </row>
    <row r="1319" spans="1:11">
      <c r="A1319" t="s">
        <v>1662</v>
      </c>
      <c r="B1319" t="b">
        <v>0</v>
      </c>
      <c r="H1319" t="s">
        <v>302</v>
      </c>
      <c r="I1319" t="s">
        <v>300</v>
      </c>
      <c r="J1319" t="s">
        <v>1004</v>
      </c>
      <c r="K1319">
        <v>3000</v>
      </c>
    </row>
    <row r="1320" spans="1:11">
      <c r="A1320" t="s">
        <v>1663</v>
      </c>
      <c r="B1320" t="b">
        <v>0</v>
      </c>
      <c r="H1320" t="s">
        <v>302</v>
      </c>
      <c r="I1320" t="s">
        <v>300</v>
      </c>
      <c r="J1320" t="s">
        <v>1004</v>
      </c>
      <c r="K1320">
        <v>3000</v>
      </c>
    </row>
    <row r="1321" spans="1:11">
      <c r="A1321" t="s">
        <v>1664</v>
      </c>
      <c r="B1321" t="b">
        <v>0</v>
      </c>
      <c r="H1321" t="s">
        <v>302</v>
      </c>
      <c r="I1321" t="s">
        <v>300</v>
      </c>
      <c r="J1321" t="s">
        <v>1004</v>
      </c>
      <c r="K1321">
        <v>3000</v>
      </c>
    </row>
    <row r="1322" spans="1:11">
      <c r="A1322" t="s">
        <v>1665</v>
      </c>
      <c r="B1322" t="b">
        <v>0</v>
      </c>
      <c r="H1322" t="s">
        <v>302</v>
      </c>
      <c r="I1322" t="s">
        <v>300</v>
      </c>
      <c r="J1322" t="s">
        <v>1004</v>
      </c>
      <c r="K1322">
        <v>3000</v>
      </c>
    </row>
    <row r="1323" spans="1:11">
      <c r="A1323" t="s">
        <v>1666</v>
      </c>
      <c r="B1323" t="b">
        <v>0</v>
      </c>
      <c r="C1323" t="s">
        <v>301</v>
      </c>
      <c r="D1323" t="s">
        <v>301</v>
      </c>
      <c r="E1323" t="s">
        <v>301</v>
      </c>
      <c r="H1323" t="s">
        <v>302</v>
      </c>
      <c r="I1323" t="s">
        <v>300</v>
      </c>
      <c r="J1323" t="s">
        <v>1057</v>
      </c>
      <c r="K1323">
        <v>3000</v>
      </c>
    </row>
    <row r="1324" spans="1:11">
      <c r="A1324" t="s">
        <v>1667</v>
      </c>
      <c r="B1324" t="b">
        <v>0</v>
      </c>
      <c r="C1324" t="s">
        <v>301</v>
      </c>
      <c r="D1324" t="s">
        <v>322</v>
      </c>
      <c r="E1324" t="s">
        <v>323</v>
      </c>
      <c r="H1324" t="s">
        <v>302</v>
      </c>
      <c r="I1324" t="s">
        <v>300</v>
      </c>
      <c r="J1324" t="s">
        <v>1057</v>
      </c>
      <c r="K1324">
        <v>3000</v>
      </c>
    </row>
    <row r="1325" spans="1:11">
      <c r="A1325" t="s">
        <v>1668</v>
      </c>
      <c r="B1325" t="b">
        <v>0</v>
      </c>
      <c r="C1325" t="s">
        <v>301</v>
      </c>
      <c r="D1325" t="s">
        <v>322</v>
      </c>
      <c r="E1325" t="s">
        <v>323</v>
      </c>
      <c r="H1325" t="s">
        <v>302</v>
      </c>
      <c r="I1325" t="s">
        <v>300</v>
      </c>
      <c r="J1325" t="s">
        <v>1057</v>
      </c>
      <c r="K1325">
        <v>3000</v>
      </c>
    </row>
    <row r="1326" spans="1:11">
      <c r="A1326" t="s">
        <v>1669</v>
      </c>
      <c r="B1326" t="b">
        <v>0</v>
      </c>
      <c r="C1326" t="s">
        <v>301</v>
      </c>
      <c r="D1326" t="s">
        <v>322</v>
      </c>
      <c r="E1326" t="s">
        <v>323</v>
      </c>
      <c r="H1326" t="s">
        <v>302</v>
      </c>
      <c r="I1326" t="s">
        <v>300</v>
      </c>
      <c r="J1326" t="s">
        <v>1057</v>
      </c>
      <c r="K1326">
        <v>3000</v>
      </c>
    </row>
    <row r="1327" spans="1:11">
      <c r="A1327" t="s">
        <v>1670</v>
      </c>
      <c r="B1327" t="b">
        <v>0</v>
      </c>
      <c r="C1327" t="s">
        <v>330</v>
      </c>
      <c r="D1327" t="s">
        <v>322</v>
      </c>
      <c r="E1327" t="s">
        <v>323</v>
      </c>
      <c r="H1327" t="s">
        <v>302</v>
      </c>
      <c r="I1327" t="s">
        <v>300</v>
      </c>
      <c r="J1327" t="s">
        <v>1057</v>
      </c>
      <c r="K1327">
        <v>3000</v>
      </c>
    </row>
    <row r="1328" spans="1:11">
      <c r="A1328" t="s">
        <v>1671</v>
      </c>
      <c r="B1328" t="b">
        <v>0</v>
      </c>
      <c r="H1328" t="s">
        <v>302</v>
      </c>
      <c r="I1328" t="s">
        <v>300</v>
      </c>
      <c r="J1328" t="s">
        <v>1057</v>
      </c>
      <c r="K1328">
        <v>3000</v>
      </c>
    </row>
    <row r="1329" spans="1:11">
      <c r="A1329" t="s">
        <v>1672</v>
      </c>
      <c r="B1329" t="b">
        <v>0</v>
      </c>
      <c r="H1329" t="s">
        <v>302</v>
      </c>
      <c r="I1329" t="s">
        <v>300</v>
      </c>
      <c r="J1329" t="s">
        <v>1057</v>
      </c>
      <c r="K1329">
        <v>3000</v>
      </c>
    </row>
    <row r="1330" spans="1:11">
      <c r="A1330" t="s">
        <v>1673</v>
      </c>
      <c r="B1330" t="b">
        <v>0</v>
      </c>
      <c r="H1330" t="s">
        <v>302</v>
      </c>
      <c r="I1330" t="s">
        <v>300</v>
      </c>
      <c r="J1330" t="s">
        <v>539</v>
      </c>
    </row>
    <row r="1331" spans="1:11">
      <c r="A1331" t="s">
        <v>1674</v>
      </c>
      <c r="B1331" t="b">
        <v>0</v>
      </c>
      <c r="H1331" t="s">
        <v>302</v>
      </c>
      <c r="I1331" t="s">
        <v>300</v>
      </c>
      <c r="J1331" t="s">
        <v>539</v>
      </c>
    </row>
    <row r="1332" spans="1:11">
      <c r="A1332" t="s">
        <v>1675</v>
      </c>
      <c r="B1332" t="b">
        <v>0</v>
      </c>
      <c r="H1332" t="s">
        <v>302</v>
      </c>
      <c r="I1332" t="s">
        <v>300</v>
      </c>
      <c r="J1332" t="s">
        <v>539</v>
      </c>
    </row>
    <row r="1333" spans="1:11">
      <c r="A1333" t="s">
        <v>1676</v>
      </c>
      <c r="B1333" t="b">
        <v>0</v>
      </c>
      <c r="H1333" t="s">
        <v>302</v>
      </c>
      <c r="I1333" t="s">
        <v>300</v>
      </c>
      <c r="J1333" t="s">
        <v>539</v>
      </c>
    </row>
    <row r="1334" spans="1:11">
      <c r="A1334" t="s">
        <v>1677</v>
      </c>
      <c r="B1334" t="b">
        <v>0</v>
      </c>
      <c r="H1334" t="s">
        <v>302</v>
      </c>
      <c r="I1334" t="s">
        <v>300</v>
      </c>
      <c r="J1334" t="s">
        <v>539</v>
      </c>
    </row>
    <row r="1335" spans="1:11">
      <c r="A1335" t="s">
        <v>1678</v>
      </c>
      <c r="B1335" t="b">
        <v>0</v>
      </c>
      <c r="H1335" t="s">
        <v>302</v>
      </c>
      <c r="I1335" t="s">
        <v>300</v>
      </c>
      <c r="J1335" t="s">
        <v>539</v>
      </c>
    </row>
    <row r="1336" spans="1:11">
      <c r="A1336" t="s">
        <v>1679</v>
      </c>
      <c r="B1336" t="b">
        <v>0</v>
      </c>
      <c r="H1336" t="s">
        <v>302</v>
      </c>
      <c r="I1336" t="s">
        <v>300</v>
      </c>
      <c r="J1336" t="s">
        <v>539</v>
      </c>
    </row>
    <row r="1337" spans="1:11">
      <c r="A1337" t="s">
        <v>1680</v>
      </c>
      <c r="B1337" t="b">
        <v>0</v>
      </c>
      <c r="H1337" t="s">
        <v>302</v>
      </c>
      <c r="I1337" t="s">
        <v>300</v>
      </c>
      <c r="J1337" t="s">
        <v>539</v>
      </c>
    </row>
    <row r="1338" spans="1:11">
      <c r="A1338" t="s">
        <v>1681</v>
      </c>
      <c r="B1338" t="b">
        <v>0</v>
      </c>
      <c r="H1338" t="s">
        <v>302</v>
      </c>
      <c r="I1338" t="s">
        <v>300</v>
      </c>
      <c r="J1338" t="s">
        <v>539</v>
      </c>
    </row>
    <row r="1339" spans="1:11">
      <c r="A1339" t="s">
        <v>1682</v>
      </c>
      <c r="B1339" t="b">
        <v>0</v>
      </c>
      <c r="H1339" t="s">
        <v>302</v>
      </c>
      <c r="I1339" t="s">
        <v>300</v>
      </c>
      <c r="J1339" t="s">
        <v>539</v>
      </c>
    </row>
    <row r="1340" spans="1:11">
      <c r="A1340" t="s">
        <v>1683</v>
      </c>
      <c r="B1340" t="b">
        <v>0</v>
      </c>
      <c r="H1340" t="s">
        <v>302</v>
      </c>
      <c r="I1340" t="s">
        <v>300</v>
      </c>
      <c r="J1340" t="s">
        <v>539</v>
      </c>
    </row>
    <row r="1341" spans="1:11">
      <c r="A1341" t="s">
        <v>1684</v>
      </c>
      <c r="B1341" t="b">
        <v>0</v>
      </c>
      <c r="H1341" t="s">
        <v>302</v>
      </c>
      <c r="I1341" t="s">
        <v>300</v>
      </c>
      <c r="J1341" t="s">
        <v>539</v>
      </c>
    </row>
    <row r="1342" spans="1:11">
      <c r="A1342" t="s">
        <v>1685</v>
      </c>
      <c r="B1342" t="b">
        <v>0</v>
      </c>
      <c r="H1342" t="s">
        <v>302</v>
      </c>
      <c r="I1342" t="s">
        <v>300</v>
      </c>
      <c r="J1342" t="s">
        <v>539</v>
      </c>
    </row>
    <row r="1343" spans="1:11">
      <c r="A1343" t="s">
        <v>1686</v>
      </c>
      <c r="B1343" t="b">
        <v>0</v>
      </c>
      <c r="H1343" t="s">
        <v>302</v>
      </c>
      <c r="I1343" t="s">
        <v>300</v>
      </c>
      <c r="J1343" t="s">
        <v>539</v>
      </c>
    </row>
    <row r="1344" spans="1:11">
      <c r="A1344" t="s">
        <v>1687</v>
      </c>
      <c r="B1344" t="b">
        <v>0</v>
      </c>
      <c r="H1344" t="s">
        <v>302</v>
      </c>
      <c r="I1344" t="s">
        <v>300</v>
      </c>
      <c r="J1344" t="s">
        <v>539</v>
      </c>
    </row>
    <row r="1345" spans="1:10">
      <c r="A1345" t="s">
        <v>1688</v>
      </c>
      <c r="B1345" t="b">
        <v>0</v>
      </c>
      <c r="H1345" t="s">
        <v>302</v>
      </c>
      <c r="I1345" t="s">
        <v>300</v>
      </c>
      <c r="J1345" t="s">
        <v>539</v>
      </c>
    </row>
    <row r="1346" spans="1:10">
      <c r="A1346" t="s">
        <v>1689</v>
      </c>
      <c r="B1346" t="b">
        <v>0</v>
      </c>
      <c r="H1346" t="s">
        <v>302</v>
      </c>
      <c r="I1346" t="s">
        <v>300</v>
      </c>
      <c r="J1346" t="s">
        <v>539</v>
      </c>
    </row>
    <row r="1347" spans="1:10">
      <c r="A1347" t="s">
        <v>1690</v>
      </c>
      <c r="B1347" t="b">
        <v>0</v>
      </c>
      <c r="H1347" t="s">
        <v>302</v>
      </c>
      <c r="I1347" t="s">
        <v>300</v>
      </c>
      <c r="J1347" t="s">
        <v>539</v>
      </c>
    </row>
    <row r="1348" spans="1:10">
      <c r="A1348" t="s">
        <v>1691</v>
      </c>
      <c r="B1348" t="b">
        <v>0</v>
      </c>
      <c r="H1348" t="s">
        <v>302</v>
      </c>
      <c r="I1348" t="s">
        <v>300</v>
      </c>
      <c r="J1348" t="s">
        <v>539</v>
      </c>
    </row>
    <row r="1349" spans="1:10">
      <c r="A1349" t="s">
        <v>1692</v>
      </c>
      <c r="B1349" t="b">
        <v>0</v>
      </c>
      <c r="H1349" t="s">
        <v>302</v>
      </c>
      <c r="I1349" t="s">
        <v>300</v>
      </c>
      <c r="J1349" t="s">
        <v>539</v>
      </c>
    </row>
    <row r="1350" spans="1:10">
      <c r="A1350" t="s">
        <v>1693</v>
      </c>
      <c r="B1350" t="b">
        <v>0</v>
      </c>
      <c r="C1350" t="s">
        <v>301</v>
      </c>
      <c r="D1350" t="s">
        <v>322</v>
      </c>
      <c r="E1350" t="s">
        <v>323</v>
      </c>
      <c r="H1350" t="s">
        <v>302</v>
      </c>
      <c r="I1350" t="s">
        <v>300</v>
      </c>
      <c r="J1350" t="s">
        <v>539</v>
      </c>
    </row>
    <row r="1351" spans="1:10">
      <c r="A1351" t="s">
        <v>1694</v>
      </c>
      <c r="B1351" t="b">
        <v>0</v>
      </c>
      <c r="C1351" t="s">
        <v>340</v>
      </c>
      <c r="D1351" t="s">
        <v>340</v>
      </c>
      <c r="E1351" t="s">
        <v>340</v>
      </c>
      <c r="H1351" t="s">
        <v>302</v>
      </c>
      <c r="I1351" t="s">
        <v>300</v>
      </c>
      <c r="J1351" t="s">
        <v>539</v>
      </c>
    </row>
    <row r="1352" spans="1:10">
      <c r="A1352" t="s">
        <v>1695</v>
      </c>
      <c r="B1352" t="b">
        <v>0</v>
      </c>
      <c r="C1352" t="s">
        <v>301</v>
      </c>
      <c r="D1352" t="s">
        <v>322</v>
      </c>
      <c r="E1352" t="s">
        <v>323</v>
      </c>
      <c r="H1352" t="s">
        <v>302</v>
      </c>
      <c r="I1352" t="s">
        <v>300</v>
      </c>
      <c r="J1352" t="s">
        <v>539</v>
      </c>
    </row>
    <row r="1353" spans="1:10">
      <c r="A1353" t="s">
        <v>1696</v>
      </c>
      <c r="B1353" t="b">
        <v>0</v>
      </c>
      <c r="C1353" t="s">
        <v>301</v>
      </c>
      <c r="D1353" t="s">
        <v>322</v>
      </c>
      <c r="E1353" t="s">
        <v>323</v>
      </c>
      <c r="H1353" t="s">
        <v>302</v>
      </c>
      <c r="I1353" t="s">
        <v>300</v>
      </c>
      <c r="J1353" t="s">
        <v>539</v>
      </c>
    </row>
    <row r="1354" spans="1:10">
      <c r="A1354" t="s">
        <v>1697</v>
      </c>
      <c r="B1354" t="b">
        <v>0</v>
      </c>
      <c r="C1354" t="s">
        <v>301</v>
      </c>
      <c r="D1354" t="s">
        <v>322</v>
      </c>
      <c r="E1354" t="s">
        <v>323</v>
      </c>
      <c r="H1354" t="s">
        <v>302</v>
      </c>
      <c r="I1354" t="s">
        <v>300</v>
      </c>
      <c r="J1354" t="s">
        <v>539</v>
      </c>
    </row>
    <row r="1355" spans="1:10">
      <c r="A1355" t="s">
        <v>1698</v>
      </c>
      <c r="B1355" t="b">
        <v>0</v>
      </c>
      <c r="C1355" t="s">
        <v>301</v>
      </c>
      <c r="D1355" t="s">
        <v>322</v>
      </c>
      <c r="E1355" t="s">
        <v>323</v>
      </c>
      <c r="H1355" t="s">
        <v>302</v>
      </c>
      <c r="I1355" t="s">
        <v>300</v>
      </c>
      <c r="J1355" t="s">
        <v>539</v>
      </c>
    </row>
    <row r="1356" spans="1:10">
      <c r="A1356" t="s">
        <v>1699</v>
      </c>
      <c r="B1356" t="b">
        <v>0</v>
      </c>
      <c r="C1356" t="s">
        <v>301</v>
      </c>
      <c r="D1356" t="s">
        <v>322</v>
      </c>
      <c r="E1356" t="s">
        <v>323</v>
      </c>
      <c r="H1356" t="s">
        <v>302</v>
      </c>
      <c r="I1356" t="s">
        <v>300</v>
      </c>
      <c r="J1356" t="s">
        <v>539</v>
      </c>
    </row>
    <row r="1357" spans="1:10">
      <c r="A1357" t="s">
        <v>1700</v>
      </c>
      <c r="B1357" t="b">
        <v>0</v>
      </c>
      <c r="C1357" t="s">
        <v>301</v>
      </c>
      <c r="D1357" t="s">
        <v>322</v>
      </c>
      <c r="E1357" t="s">
        <v>323</v>
      </c>
      <c r="H1357" t="s">
        <v>302</v>
      </c>
      <c r="I1357" t="s">
        <v>300</v>
      </c>
      <c r="J1357" t="s">
        <v>539</v>
      </c>
    </row>
    <row r="1358" spans="1:10">
      <c r="A1358" t="s">
        <v>1701</v>
      </c>
      <c r="B1358" t="b">
        <v>0</v>
      </c>
      <c r="C1358" t="s">
        <v>301</v>
      </c>
      <c r="D1358" t="s">
        <v>322</v>
      </c>
      <c r="E1358" t="s">
        <v>323</v>
      </c>
      <c r="H1358" t="s">
        <v>302</v>
      </c>
      <c r="I1358" t="s">
        <v>300</v>
      </c>
      <c r="J1358" t="s">
        <v>539</v>
      </c>
    </row>
    <row r="1359" spans="1:10">
      <c r="A1359" t="s">
        <v>1702</v>
      </c>
      <c r="B1359" t="b">
        <v>0</v>
      </c>
      <c r="C1359" t="s">
        <v>340</v>
      </c>
      <c r="D1359" t="s">
        <v>322</v>
      </c>
      <c r="E1359" t="s">
        <v>323</v>
      </c>
      <c r="H1359" t="s">
        <v>302</v>
      </c>
      <c r="I1359" t="s">
        <v>300</v>
      </c>
      <c r="J1359" t="s">
        <v>539</v>
      </c>
    </row>
    <row r="1360" spans="1:10">
      <c r="A1360" t="s">
        <v>1703</v>
      </c>
      <c r="B1360" t="b">
        <v>0</v>
      </c>
      <c r="C1360" t="s">
        <v>330</v>
      </c>
      <c r="D1360" t="s">
        <v>322</v>
      </c>
      <c r="E1360" t="s">
        <v>323</v>
      </c>
      <c r="H1360" t="s">
        <v>302</v>
      </c>
      <c r="I1360" t="s">
        <v>300</v>
      </c>
      <c r="J1360" t="s">
        <v>539</v>
      </c>
    </row>
    <row r="1361" spans="1:11">
      <c r="A1361" t="s">
        <v>1704</v>
      </c>
      <c r="B1361" t="b">
        <v>0</v>
      </c>
      <c r="H1361" t="s">
        <v>302</v>
      </c>
      <c r="I1361" t="s">
        <v>300</v>
      </c>
      <c r="J1361" t="s">
        <v>539</v>
      </c>
    </row>
    <row r="1362" spans="1:11">
      <c r="A1362" t="s">
        <v>1705</v>
      </c>
      <c r="B1362" t="b">
        <v>0</v>
      </c>
      <c r="C1362" t="s">
        <v>301</v>
      </c>
      <c r="D1362" t="s">
        <v>301</v>
      </c>
      <c r="E1362" t="s">
        <v>301</v>
      </c>
      <c r="H1362" t="s">
        <v>302</v>
      </c>
      <c r="I1362" t="s">
        <v>300</v>
      </c>
      <c r="J1362" t="s">
        <v>539</v>
      </c>
    </row>
    <row r="1363" spans="1:11">
      <c r="A1363" t="s">
        <v>1706</v>
      </c>
      <c r="B1363" t="b">
        <v>0</v>
      </c>
      <c r="C1363" t="s">
        <v>301</v>
      </c>
      <c r="D1363" t="s">
        <v>301</v>
      </c>
      <c r="E1363" t="s">
        <v>301</v>
      </c>
      <c r="H1363" t="s">
        <v>301</v>
      </c>
      <c r="I1363" t="s">
        <v>300</v>
      </c>
      <c r="J1363" t="s">
        <v>1103</v>
      </c>
      <c r="K1363">
        <v>3000</v>
      </c>
    </row>
    <row r="1364" spans="1:11">
      <c r="A1364" t="s">
        <v>1707</v>
      </c>
      <c r="B1364" t="b">
        <v>0</v>
      </c>
      <c r="C1364" t="s">
        <v>301</v>
      </c>
      <c r="D1364" t="s">
        <v>389</v>
      </c>
      <c r="E1364" t="s">
        <v>301</v>
      </c>
      <c r="H1364" t="s">
        <v>301</v>
      </c>
      <c r="I1364" t="s">
        <v>300</v>
      </c>
      <c r="J1364" t="s">
        <v>1103</v>
      </c>
      <c r="K1364">
        <v>3000</v>
      </c>
    </row>
    <row r="1365" spans="1:11">
      <c r="A1365" t="s">
        <v>1708</v>
      </c>
      <c r="B1365" t="b">
        <v>0</v>
      </c>
      <c r="C1365" t="s">
        <v>301</v>
      </c>
      <c r="D1365" t="s">
        <v>301</v>
      </c>
      <c r="E1365" t="s">
        <v>301</v>
      </c>
      <c r="H1365" t="s">
        <v>301</v>
      </c>
      <c r="I1365" t="s">
        <v>300</v>
      </c>
      <c r="J1365" t="s">
        <v>1103</v>
      </c>
      <c r="K1365">
        <v>3000</v>
      </c>
    </row>
    <row r="1366" spans="1:11">
      <c r="A1366" t="s">
        <v>1709</v>
      </c>
      <c r="B1366" t="b">
        <v>0</v>
      </c>
      <c r="C1366" t="s">
        <v>301</v>
      </c>
      <c r="D1366" t="s">
        <v>322</v>
      </c>
      <c r="E1366" t="s">
        <v>323</v>
      </c>
      <c r="H1366" t="s">
        <v>301</v>
      </c>
      <c r="I1366" t="s">
        <v>300</v>
      </c>
      <c r="J1366" t="s">
        <v>1103</v>
      </c>
      <c r="K1366">
        <v>3000</v>
      </c>
    </row>
    <row r="1367" spans="1:11">
      <c r="A1367" t="s">
        <v>1710</v>
      </c>
      <c r="B1367" t="b">
        <v>0</v>
      </c>
      <c r="C1367" t="s">
        <v>353</v>
      </c>
      <c r="D1367" t="s">
        <v>354</v>
      </c>
      <c r="E1367" t="s">
        <v>353</v>
      </c>
      <c r="H1367" t="s">
        <v>301</v>
      </c>
      <c r="I1367" t="s">
        <v>300</v>
      </c>
      <c r="J1367" t="s">
        <v>1103</v>
      </c>
      <c r="K1367">
        <v>3000</v>
      </c>
    </row>
    <row r="1368" spans="1:11">
      <c r="A1368" t="s">
        <v>1711</v>
      </c>
      <c r="B1368" t="b">
        <v>0</v>
      </c>
      <c r="C1368" t="s">
        <v>301</v>
      </c>
      <c r="D1368" t="s">
        <v>322</v>
      </c>
      <c r="E1368" t="s">
        <v>323</v>
      </c>
      <c r="H1368" t="s">
        <v>301</v>
      </c>
      <c r="I1368" t="s">
        <v>300</v>
      </c>
      <c r="J1368" t="s">
        <v>1103</v>
      </c>
      <c r="K1368">
        <v>3000</v>
      </c>
    </row>
    <row r="1369" spans="1:11">
      <c r="A1369" t="s">
        <v>1712</v>
      </c>
      <c r="B1369" t="b">
        <v>0</v>
      </c>
      <c r="H1369" t="s">
        <v>302</v>
      </c>
      <c r="I1369" t="s">
        <v>300</v>
      </c>
      <c r="J1369" t="s">
        <v>1103</v>
      </c>
      <c r="K1369">
        <v>3000</v>
      </c>
    </row>
    <row r="1370" spans="1:11">
      <c r="A1370" t="s">
        <v>1713</v>
      </c>
      <c r="B1370" t="b">
        <v>0</v>
      </c>
      <c r="H1370" t="s">
        <v>302</v>
      </c>
      <c r="I1370" t="s">
        <v>300</v>
      </c>
      <c r="J1370" t="s">
        <v>539</v>
      </c>
    </row>
    <row r="1371" spans="1:11">
      <c r="A1371" t="s">
        <v>1714</v>
      </c>
      <c r="B1371" t="b">
        <v>0</v>
      </c>
      <c r="H1371" t="s">
        <v>302</v>
      </c>
      <c r="I1371" t="s">
        <v>300</v>
      </c>
      <c r="J1371" t="s">
        <v>539</v>
      </c>
    </row>
    <row r="1372" spans="1:11">
      <c r="A1372" t="s">
        <v>1715</v>
      </c>
      <c r="B1372" t="b">
        <v>0</v>
      </c>
      <c r="H1372" t="s">
        <v>302</v>
      </c>
      <c r="I1372" t="s">
        <v>300</v>
      </c>
      <c r="J1372" t="s">
        <v>539</v>
      </c>
    </row>
    <row r="1373" spans="1:11">
      <c r="A1373" t="s">
        <v>1716</v>
      </c>
      <c r="B1373" t="b">
        <v>0</v>
      </c>
      <c r="H1373" t="s">
        <v>302</v>
      </c>
      <c r="I1373" t="s">
        <v>300</v>
      </c>
      <c r="J1373" t="s">
        <v>539</v>
      </c>
    </row>
    <row r="1374" spans="1:11">
      <c r="A1374" t="s">
        <v>1717</v>
      </c>
      <c r="B1374" t="b">
        <v>0</v>
      </c>
      <c r="H1374" t="s">
        <v>302</v>
      </c>
      <c r="I1374" t="s">
        <v>300</v>
      </c>
      <c r="J1374" t="s">
        <v>539</v>
      </c>
    </row>
    <row r="1375" spans="1:11">
      <c r="A1375" t="s">
        <v>1718</v>
      </c>
      <c r="B1375" t="b">
        <v>0</v>
      </c>
      <c r="H1375" t="s">
        <v>302</v>
      </c>
      <c r="I1375" t="s">
        <v>300</v>
      </c>
      <c r="J1375" t="s">
        <v>539</v>
      </c>
    </row>
    <row r="1376" spans="1:11">
      <c r="A1376" t="s">
        <v>1719</v>
      </c>
      <c r="B1376" t="b">
        <v>0</v>
      </c>
      <c r="H1376" t="s">
        <v>302</v>
      </c>
      <c r="I1376" t="s">
        <v>300</v>
      </c>
      <c r="J1376" t="s">
        <v>539</v>
      </c>
    </row>
    <row r="1377" spans="1:11">
      <c r="A1377" t="s">
        <v>1720</v>
      </c>
      <c r="B1377" t="b">
        <v>0</v>
      </c>
      <c r="H1377" t="s">
        <v>302</v>
      </c>
      <c r="I1377" t="s">
        <v>300</v>
      </c>
      <c r="J1377" t="s">
        <v>539</v>
      </c>
    </row>
    <row r="1378" spans="1:11">
      <c r="A1378" t="s">
        <v>1721</v>
      </c>
      <c r="B1378" t="b">
        <v>0</v>
      </c>
      <c r="H1378" t="s">
        <v>302</v>
      </c>
      <c r="I1378" t="s">
        <v>300</v>
      </c>
      <c r="J1378" t="s">
        <v>518</v>
      </c>
    </row>
    <row r="1379" spans="1:11">
      <c r="A1379" t="s">
        <v>1722</v>
      </c>
      <c r="B1379" t="b">
        <v>0</v>
      </c>
      <c r="H1379" t="s">
        <v>302</v>
      </c>
      <c r="I1379" t="s">
        <v>300</v>
      </c>
      <c r="J1379" t="s">
        <v>518</v>
      </c>
    </row>
    <row r="1380" spans="1:11">
      <c r="A1380" t="s">
        <v>1723</v>
      </c>
      <c r="B1380" t="b">
        <v>0</v>
      </c>
      <c r="H1380" t="s">
        <v>302</v>
      </c>
      <c r="I1380" t="s">
        <v>300</v>
      </c>
      <c r="J1380" t="s">
        <v>518</v>
      </c>
    </row>
    <row r="1381" spans="1:11">
      <c r="A1381" t="s">
        <v>1724</v>
      </c>
      <c r="B1381" t="b">
        <v>0</v>
      </c>
      <c r="H1381" t="s">
        <v>302</v>
      </c>
      <c r="I1381" t="s">
        <v>300</v>
      </c>
      <c r="J1381" t="s">
        <v>518</v>
      </c>
    </row>
    <row r="1382" spans="1:11">
      <c r="A1382" t="s">
        <v>1725</v>
      </c>
      <c r="B1382" t="b">
        <v>0</v>
      </c>
      <c r="C1382" t="s">
        <v>301</v>
      </c>
      <c r="D1382" t="s">
        <v>301</v>
      </c>
      <c r="E1382" t="s">
        <v>301</v>
      </c>
      <c r="H1382" t="s">
        <v>302</v>
      </c>
      <c r="I1382" t="s">
        <v>300</v>
      </c>
      <c r="J1382" t="s">
        <v>518</v>
      </c>
    </row>
    <row r="1383" spans="1:11">
      <c r="A1383" t="s">
        <v>1726</v>
      </c>
      <c r="B1383" t="b">
        <v>0</v>
      </c>
      <c r="H1383" t="s">
        <v>302</v>
      </c>
      <c r="I1383" t="s">
        <v>300</v>
      </c>
      <c r="J1383" t="s">
        <v>518</v>
      </c>
    </row>
    <row r="1384" spans="1:11">
      <c r="A1384" t="s">
        <v>1727</v>
      </c>
      <c r="B1384" t="b">
        <v>0</v>
      </c>
      <c r="H1384" t="s">
        <v>302</v>
      </c>
      <c r="I1384" t="s">
        <v>300</v>
      </c>
      <c r="J1384" t="s">
        <v>518</v>
      </c>
    </row>
    <row r="1385" spans="1:11">
      <c r="A1385" t="s">
        <v>1728</v>
      </c>
      <c r="B1385" t="b">
        <v>0</v>
      </c>
      <c r="H1385" t="s">
        <v>302</v>
      </c>
      <c r="I1385" t="s">
        <v>300</v>
      </c>
      <c r="J1385" t="s">
        <v>518</v>
      </c>
    </row>
    <row r="1386" spans="1:11">
      <c r="A1386" t="s">
        <v>1729</v>
      </c>
      <c r="B1386" t="b">
        <v>0</v>
      </c>
      <c r="H1386" t="s">
        <v>302</v>
      </c>
      <c r="I1386" t="s">
        <v>300</v>
      </c>
      <c r="J1386" t="s">
        <v>518</v>
      </c>
    </row>
    <row r="1387" spans="1:11">
      <c r="A1387" t="s">
        <v>1730</v>
      </c>
      <c r="B1387" t="b">
        <v>0</v>
      </c>
      <c r="H1387" t="s">
        <v>302</v>
      </c>
      <c r="I1387" t="s">
        <v>300</v>
      </c>
      <c r="J1387" t="s">
        <v>518</v>
      </c>
    </row>
    <row r="1388" spans="1:11">
      <c r="A1388" t="s">
        <v>1731</v>
      </c>
      <c r="B1388" t="b">
        <v>0</v>
      </c>
      <c r="H1388" t="s">
        <v>302</v>
      </c>
      <c r="I1388" t="s">
        <v>300</v>
      </c>
      <c r="J1388" t="s">
        <v>539</v>
      </c>
    </row>
    <row r="1389" spans="1:11">
      <c r="A1389" t="s">
        <v>1732</v>
      </c>
      <c r="B1389" t="b">
        <v>0</v>
      </c>
      <c r="H1389" t="s">
        <v>302</v>
      </c>
      <c r="I1389" t="s">
        <v>300</v>
      </c>
      <c r="J1389" t="s">
        <v>539</v>
      </c>
    </row>
    <row r="1390" spans="1:11">
      <c r="A1390" t="s">
        <v>1733</v>
      </c>
      <c r="B1390" t="b">
        <v>0</v>
      </c>
      <c r="H1390" t="s">
        <v>302</v>
      </c>
      <c r="I1390" t="s">
        <v>300</v>
      </c>
      <c r="J1390" t="s">
        <v>1057</v>
      </c>
      <c r="K1390">
        <v>3000</v>
      </c>
    </row>
    <row r="1391" spans="1:11">
      <c r="A1391" t="s">
        <v>1734</v>
      </c>
      <c r="B1391" t="b">
        <v>0</v>
      </c>
      <c r="H1391" t="s">
        <v>302</v>
      </c>
      <c r="I1391" t="s">
        <v>300</v>
      </c>
      <c r="J1391" t="s">
        <v>1057</v>
      </c>
      <c r="K1391">
        <v>3000</v>
      </c>
    </row>
    <row r="1392" spans="1:11">
      <c r="A1392" t="s">
        <v>1735</v>
      </c>
      <c r="B1392" t="b">
        <v>0</v>
      </c>
      <c r="H1392" t="s">
        <v>302</v>
      </c>
      <c r="I1392" t="s">
        <v>300</v>
      </c>
      <c r="J1392" t="s">
        <v>1057</v>
      </c>
      <c r="K1392">
        <v>3000</v>
      </c>
    </row>
    <row r="1393" spans="1:11">
      <c r="A1393" t="s">
        <v>1736</v>
      </c>
      <c r="B1393" t="b">
        <v>0</v>
      </c>
      <c r="H1393" t="s">
        <v>302</v>
      </c>
      <c r="I1393" t="s">
        <v>300</v>
      </c>
      <c r="J1393" t="s">
        <v>1057</v>
      </c>
      <c r="K1393">
        <v>3000</v>
      </c>
    </row>
    <row r="1394" spans="1:11">
      <c r="A1394" t="s">
        <v>1737</v>
      </c>
      <c r="B1394" t="b">
        <v>0</v>
      </c>
      <c r="H1394" t="s">
        <v>302</v>
      </c>
      <c r="I1394" t="s">
        <v>300</v>
      </c>
      <c r="J1394" t="s">
        <v>1057</v>
      </c>
      <c r="K1394">
        <v>3000</v>
      </c>
    </row>
    <row r="1395" spans="1:11">
      <c r="A1395" t="s">
        <v>1738</v>
      </c>
      <c r="B1395" t="b">
        <v>0</v>
      </c>
      <c r="H1395" t="s">
        <v>302</v>
      </c>
      <c r="I1395" t="s">
        <v>300</v>
      </c>
      <c r="J1395" t="s">
        <v>1057</v>
      </c>
      <c r="K1395">
        <v>3000</v>
      </c>
    </row>
    <row r="1396" spans="1:11">
      <c r="A1396" t="s">
        <v>1739</v>
      </c>
      <c r="B1396" t="b">
        <v>0</v>
      </c>
      <c r="H1396" t="s">
        <v>302</v>
      </c>
      <c r="I1396" t="s">
        <v>300</v>
      </c>
      <c r="J1396" t="s">
        <v>1057</v>
      </c>
      <c r="K1396">
        <v>3000</v>
      </c>
    </row>
    <row r="1397" spans="1:11">
      <c r="A1397" t="s">
        <v>1740</v>
      </c>
      <c r="B1397" t="b">
        <v>0</v>
      </c>
      <c r="H1397" t="s">
        <v>302</v>
      </c>
      <c r="I1397" t="s">
        <v>300</v>
      </c>
      <c r="J1397" t="s">
        <v>1057</v>
      </c>
      <c r="K1397">
        <v>3000</v>
      </c>
    </row>
    <row r="1398" spans="1:11">
      <c r="A1398" t="s">
        <v>1741</v>
      </c>
      <c r="B1398" t="b">
        <v>0</v>
      </c>
      <c r="C1398" t="s">
        <v>301</v>
      </c>
      <c r="D1398" t="s">
        <v>301</v>
      </c>
      <c r="E1398" t="s">
        <v>301</v>
      </c>
      <c r="F1398" t="s">
        <v>338</v>
      </c>
      <c r="H1398" t="s">
        <v>340</v>
      </c>
      <c r="I1398" t="s">
        <v>300</v>
      </c>
      <c r="J1398" t="s">
        <v>1184</v>
      </c>
      <c r="K1398">
        <v>3000</v>
      </c>
    </row>
    <row r="1399" spans="1:11">
      <c r="A1399" t="s">
        <v>1742</v>
      </c>
      <c r="B1399" t="b">
        <v>0</v>
      </c>
      <c r="C1399" t="s">
        <v>353</v>
      </c>
      <c r="D1399" t="s">
        <v>354</v>
      </c>
      <c r="E1399" t="s">
        <v>353</v>
      </c>
      <c r="H1399" t="s">
        <v>301</v>
      </c>
      <c r="I1399" t="s">
        <v>300</v>
      </c>
      <c r="J1399" t="s">
        <v>1184</v>
      </c>
      <c r="K1399">
        <v>3000</v>
      </c>
    </row>
    <row r="1400" spans="1:11">
      <c r="A1400" t="s">
        <v>1743</v>
      </c>
      <c r="B1400" t="b">
        <v>0</v>
      </c>
      <c r="C1400" t="s">
        <v>353</v>
      </c>
      <c r="D1400" t="s">
        <v>354</v>
      </c>
      <c r="E1400" t="s">
        <v>353</v>
      </c>
      <c r="H1400" t="s">
        <v>301</v>
      </c>
      <c r="I1400" t="s">
        <v>300</v>
      </c>
      <c r="J1400" t="s">
        <v>1184</v>
      </c>
      <c r="K1400">
        <v>3000</v>
      </c>
    </row>
    <row r="1401" spans="1:11">
      <c r="A1401" t="s">
        <v>1744</v>
      </c>
      <c r="B1401" t="b">
        <v>0</v>
      </c>
      <c r="C1401" t="s">
        <v>301</v>
      </c>
      <c r="D1401" t="s">
        <v>322</v>
      </c>
      <c r="E1401" t="s">
        <v>323</v>
      </c>
      <c r="H1401" t="s">
        <v>340</v>
      </c>
      <c r="I1401" t="s">
        <v>300</v>
      </c>
      <c r="J1401" t="s">
        <v>1184</v>
      </c>
      <c r="K1401">
        <v>3000</v>
      </c>
    </row>
    <row r="1402" spans="1:11">
      <c r="A1402" t="s">
        <v>1745</v>
      </c>
      <c r="B1402" t="b">
        <v>0</v>
      </c>
      <c r="C1402" t="s">
        <v>301</v>
      </c>
      <c r="D1402" t="s">
        <v>322</v>
      </c>
      <c r="E1402" t="s">
        <v>323</v>
      </c>
      <c r="H1402" t="s">
        <v>301</v>
      </c>
      <c r="I1402" t="s">
        <v>300</v>
      </c>
      <c r="J1402" t="s">
        <v>1184</v>
      </c>
      <c r="K1402">
        <v>3000</v>
      </c>
    </row>
    <row r="1403" spans="1:11">
      <c r="A1403" t="s">
        <v>1746</v>
      </c>
      <c r="B1403" t="b">
        <v>0</v>
      </c>
      <c r="C1403" t="s">
        <v>301</v>
      </c>
      <c r="D1403" t="s">
        <v>322</v>
      </c>
      <c r="E1403" t="s">
        <v>323</v>
      </c>
      <c r="H1403" t="s">
        <v>301</v>
      </c>
      <c r="I1403" t="s">
        <v>300</v>
      </c>
      <c r="J1403" t="s">
        <v>1184</v>
      </c>
      <c r="K1403">
        <v>3000</v>
      </c>
    </row>
    <row r="1404" spans="1:11">
      <c r="A1404" t="s">
        <v>1747</v>
      </c>
      <c r="B1404" t="b">
        <v>0</v>
      </c>
      <c r="C1404" t="s">
        <v>301</v>
      </c>
      <c r="D1404" t="s">
        <v>322</v>
      </c>
      <c r="E1404" t="s">
        <v>323</v>
      </c>
      <c r="H1404" t="s">
        <v>301</v>
      </c>
      <c r="I1404" t="s">
        <v>300</v>
      </c>
      <c r="J1404" t="s">
        <v>1184</v>
      </c>
      <c r="K1404">
        <v>3000</v>
      </c>
    </row>
    <row r="1405" spans="1:11">
      <c r="A1405" t="s">
        <v>1748</v>
      </c>
      <c r="B1405" t="b">
        <v>0</v>
      </c>
      <c r="C1405" t="s">
        <v>301</v>
      </c>
      <c r="D1405" t="s">
        <v>322</v>
      </c>
      <c r="E1405" t="s">
        <v>323</v>
      </c>
      <c r="H1405" t="s">
        <v>301</v>
      </c>
      <c r="I1405" t="s">
        <v>300</v>
      </c>
      <c r="J1405" t="s">
        <v>1184</v>
      </c>
      <c r="K1405">
        <v>3000</v>
      </c>
    </row>
    <row r="1406" spans="1:11">
      <c r="A1406" t="s">
        <v>1749</v>
      </c>
      <c r="B1406" t="b">
        <v>0</v>
      </c>
      <c r="C1406" t="s">
        <v>301</v>
      </c>
      <c r="D1406" t="s">
        <v>322</v>
      </c>
      <c r="E1406" t="s">
        <v>323</v>
      </c>
      <c r="H1406" t="s">
        <v>301</v>
      </c>
      <c r="I1406" t="s">
        <v>300</v>
      </c>
      <c r="J1406" t="s">
        <v>1184</v>
      </c>
      <c r="K1406">
        <v>3000</v>
      </c>
    </row>
    <row r="1407" spans="1:11">
      <c r="A1407" t="s">
        <v>1750</v>
      </c>
      <c r="B1407" t="b">
        <v>0</v>
      </c>
      <c r="C1407" t="s">
        <v>301</v>
      </c>
      <c r="D1407" t="s">
        <v>322</v>
      </c>
      <c r="E1407" t="s">
        <v>323</v>
      </c>
      <c r="H1407" t="s">
        <v>301</v>
      </c>
      <c r="I1407" t="s">
        <v>300</v>
      </c>
      <c r="J1407" t="s">
        <v>1184</v>
      </c>
      <c r="K1407">
        <v>3000</v>
      </c>
    </row>
    <row r="1408" spans="1:11">
      <c r="A1408" t="s">
        <v>1751</v>
      </c>
      <c r="B1408" t="b">
        <v>0</v>
      </c>
      <c r="C1408" t="s">
        <v>1752</v>
      </c>
      <c r="D1408" t="s">
        <v>340</v>
      </c>
      <c r="E1408" t="s">
        <v>340</v>
      </c>
      <c r="H1408" t="s">
        <v>302</v>
      </c>
      <c r="I1408" t="s">
        <v>300</v>
      </c>
      <c r="J1408" t="s">
        <v>1184</v>
      </c>
      <c r="K1408">
        <v>3000</v>
      </c>
    </row>
    <row r="1409" spans="1:11">
      <c r="A1409" t="s">
        <v>1753</v>
      </c>
      <c r="B1409" t="b">
        <v>0</v>
      </c>
      <c r="H1409" t="s">
        <v>301</v>
      </c>
      <c r="I1409" t="s">
        <v>300</v>
      </c>
      <c r="J1409" t="s">
        <v>1184</v>
      </c>
      <c r="K1409">
        <v>3000</v>
      </c>
    </row>
    <row r="1410" spans="1:11">
      <c r="A1410" t="s">
        <v>1754</v>
      </c>
      <c r="B1410" t="b">
        <v>0</v>
      </c>
      <c r="H1410" t="s">
        <v>302</v>
      </c>
      <c r="I1410" t="s">
        <v>300</v>
      </c>
      <c r="J1410" t="s">
        <v>411</v>
      </c>
    </row>
    <row r="1411" spans="1:11">
      <c r="A1411" t="s">
        <v>1755</v>
      </c>
      <c r="B1411" t="b">
        <v>0</v>
      </c>
      <c r="H1411" t="s">
        <v>302</v>
      </c>
      <c r="I1411" t="s">
        <v>300</v>
      </c>
      <c r="J1411" t="s">
        <v>411</v>
      </c>
    </row>
    <row r="1412" spans="1:11">
      <c r="A1412" t="s">
        <v>1756</v>
      </c>
      <c r="B1412" t="b">
        <v>0</v>
      </c>
      <c r="H1412" t="s">
        <v>302</v>
      </c>
      <c r="I1412" t="s">
        <v>300</v>
      </c>
      <c r="J1412" t="s">
        <v>411</v>
      </c>
    </row>
    <row r="1413" spans="1:11">
      <c r="A1413" t="s">
        <v>1757</v>
      </c>
      <c r="B1413" t="b">
        <v>0</v>
      </c>
      <c r="H1413" t="s">
        <v>302</v>
      </c>
      <c r="I1413" t="s">
        <v>300</v>
      </c>
      <c r="J1413" t="s">
        <v>411</v>
      </c>
    </row>
    <row r="1414" spans="1:11">
      <c r="A1414" t="s">
        <v>1758</v>
      </c>
      <c r="B1414" t="b">
        <v>0</v>
      </c>
      <c r="H1414" t="s">
        <v>302</v>
      </c>
      <c r="I1414" t="s">
        <v>300</v>
      </c>
      <c r="J1414" t="s">
        <v>411</v>
      </c>
    </row>
    <row r="1415" spans="1:11">
      <c r="A1415" t="s">
        <v>1759</v>
      </c>
      <c r="B1415" t="b">
        <v>0</v>
      </c>
      <c r="H1415" t="s">
        <v>302</v>
      </c>
      <c r="I1415" t="s">
        <v>300</v>
      </c>
      <c r="J1415" t="s">
        <v>411</v>
      </c>
    </row>
    <row r="1416" spans="1:11">
      <c r="A1416" t="s">
        <v>1760</v>
      </c>
      <c r="B1416" t="b">
        <v>0</v>
      </c>
      <c r="H1416" t="s">
        <v>302</v>
      </c>
      <c r="I1416" t="s">
        <v>300</v>
      </c>
      <c r="J1416" t="s">
        <v>411</v>
      </c>
    </row>
    <row r="1417" spans="1:11">
      <c r="A1417" t="s">
        <v>1761</v>
      </c>
      <c r="B1417" t="b">
        <v>0</v>
      </c>
      <c r="H1417" t="s">
        <v>302</v>
      </c>
      <c r="I1417" t="s">
        <v>300</v>
      </c>
      <c r="J1417" t="s">
        <v>411</v>
      </c>
    </row>
    <row r="1418" spans="1:11">
      <c r="A1418" t="s">
        <v>1762</v>
      </c>
      <c r="B1418" t="b">
        <v>0</v>
      </c>
      <c r="H1418" t="s">
        <v>302</v>
      </c>
      <c r="I1418" t="s">
        <v>300</v>
      </c>
      <c r="J1418" t="s">
        <v>411</v>
      </c>
    </row>
    <row r="1419" spans="1:11">
      <c r="A1419" t="s">
        <v>1763</v>
      </c>
      <c r="B1419" t="b">
        <v>0</v>
      </c>
      <c r="H1419" t="s">
        <v>302</v>
      </c>
      <c r="I1419" t="s">
        <v>300</v>
      </c>
      <c r="J1419" t="s">
        <v>411</v>
      </c>
    </row>
    <row r="1420" spans="1:11">
      <c r="A1420" t="s">
        <v>1764</v>
      </c>
      <c r="B1420" t="b">
        <v>0</v>
      </c>
      <c r="H1420" t="s">
        <v>302</v>
      </c>
      <c r="I1420" t="s">
        <v>300</v>
      </c>
      <c r="J1420" t="s">
        <v>411</v>
      </c>
    </row>
    <row r="1421" spans="1:11">
      <c r="A1421" t="s">
        <v>1765</v>
      </c>
      <c r="B1421" t="b">
        <v>0</v>
      </c>
      <c r="H1421" t="s">
        <v>302</v>
      </c>
      <c r="I1421" t="s">
        <v>300</v>
      </c>
      <c r="J1421" t="s">
        <v>411</v>
      </c>
    </row>
    <row r="1422" spans="1:11">
      <c r="A1422" t="s">
        <v>1766</v>
      </c>
      <c r="B1422" t="b">
        <v>0</v>
      </c>
      <c r="H1422" t="s">
        <v>302</v>
      </c>
      <c r="I1422" t="s">
        <v>300</v>
      </c>
      <c r="J1422" t="s">
        <v>411</v>
      </c>
    </row>
    <row r="1423" spans="1:11">
      <c r="A1423" t="s">
        <v>1767</v>
      </c>
      <c r="B1423" t="b">
        <v>0</v>
      </c>
      <c r="H1423" t="s">
        <v>302</v>
      </c>
      <c r="I1423" t="s">
        <v>300</v>
      </c>
      <c r="J1423" t="s">
        <v>411</v>
      </c>
    </row>
    <row r="1424" spans="1:11">
      <c r="A1424" t="s">
        <v>1768</v>
      </c>
      <c r="B1424" t="b">
        <v>0</v>
      </c>
      <c r="H1424" t="s">
        <v>302</v>
      </c>
      <c r="I1424" t="s">
        <v>300</v>
      </c>
      <c r="J1424" t="s">
        <v>411</v>
      </c>
    </row>
    <row r="1425" spans="1:11">
      <c r="A1425" t="s">
        <v>1769</v>
      </c>
      <c r="B1425" t="b">
        <v>0</v>
      </c>
      <c r="H1425" t="s">
        <v>302</v>
      </c>
      <c r="I1425" t="s">
        <v>300</v>
      </c>
      <c r="J1425" t="s">
        <v>411</v>
      </c>
    </row>
    <row r="1426" spans="1:11">
      <c r="A1426" t="s">
        <v>1770</v>
      </c>
      <c r="B1426" t="b">
        <v>0</v>
      </c>
      <c r="H1426" t="s">
        <v>302</v>
      </c>
      <c r="I1426" t="s">
        <v>300</v>
      </c>
      <c r="J1426" t="s">
        <v>411</v>
      </c>
    </row>
    <row r="1427" spans="1:11">
      <c r="A1427" t="s">
        <v>1771</v>
      </c>
      <c r="B1427" t="b">
        <v>0</v>
      </c>
      <c r="H1427" t="s">
        <v>302</v>
      </c>
      <c r="I1427" t="s">
        <v>300</v>
      </c>
      <c r="J1427" t="s">
        <v>411</v>
      </c>
    </row>
    <row r="1428" spans="1:11">
      <c r="A1428" t="s">
        <v>1772</v>
      </c>
      <c r="B1428" t="b">
        <v>0</v>
      </c>
      <c r="H1428" t="s">
        <v>302</v>
      </c>
      <c r="I1428" t="s">
        <v>300</v>
      </c>
      <c r="J1428" t="s">
        <v>411</v>
      </c>
    </row>
    <row r="1429" spans="1:11">
      <c r="A1429" t="s">
        <v>1773</v>
      </c>
      <c r="B1429" t="b">
        <v>0</v>
      </c>
      <c r="H1429" t="s">
        <v>302</v>
      </c>
      <c r="I1429" t="s">
        <v>300</v>
      </c>
      <c r="J1429" t="s">
        <v>411</v>
      </c>
    </row>
    <row r="1430" spans="1:11">
      <c r="A1430" t="s">
        <v>1774</v>
      </c>
      <c r="B1430" t="b">
        <v>0</v>
      </c>
      <c r="H1430" t="s">
        <v>302</v>
      </c>
      <c r="I1430" t="s">
        <v>300</v>
      </c>
      <c r="J1430" t="s">
        <v>304</v>
      </c>
    </row>
    <row r="1431" spans="1:11">
      <c r="A1431" t="s">
        <v>1775</v>
      </c>
      <c r="B1431" t="b">
        <v>0</v>
      </c>
      <c r="H1431" t="s">
        <v>302</v>
      </c>
      <c r="I1431" t="s">
        <v>300</v>
      </c>
      <c r="J1431" t="s">
        <v>304</v>
      </c>
    </row>
    <row r="1432" spans="1:11">
      <c r="A1432" t="s">
        <v>1776</v>
      </c>
      <c r="B1432" t="b">
        <v>0</v>
      </c>
      <c r="H1432" t="s">
        <v>302</v>
      </c>
      <c r="I1432" t="s">
        <v>300</v>
      </c>
      <c r="J1432" t="s">
        <v>304</v>
      </c>
    </row>
    <row r="1433" spans="1:11">
      <c r="A1433" t="s">
        <v>1777</v>
      </c>
      <c r="B1433" t="b">
        <v>0</v>
      </c>
      <c r="H1433" t="s">
        <v>302</v>
      </c>
      <c r="I1433" t="s">
        <v>300</v>
      </c>
      <c r="J1433" t="s">
        <v>304</v>
      </c>
    </row>
    <row r="1434" spans="1:11">
      <c r="A1434" t="s">
        <v>1778</v>
      </c>
      <c r="B1434" t="b">
        <v>0</v>
      </c>
      <c r="H1434" t="s">
        <v>302</v>
      </c>
      <c r="I1434" t="s">
        <v>300</v>
      </c>
      <c r="J1434" t="s">
        <v>304</v>
      </c>
    </row>
    <row r="1435" spans="1:11">
      <c r="A1435" t="s">
        <v>1779</v>
      </c>
      <c r="B1435" t="b">
        <v>0</v>
      </c>
      <c r="H1435" t="s">
        <v>302</v>
      </c>
      <c r="I1435" t="s">
        <v>300</v>
      </c>
      <c r="J1435" t="s">
        <v>304</v>
      </c>
    </row>
    <row r="1436" spans="1:11">
      <c r="A1436" t="s">
        <v>1780</v>
      </c>
      <c r="B1436" t="b">
        <v>0</v>
      </c>
      <c r="H1436" t="s">
        <v>302</v>
      </c>
      <c r="I1436" t="s">
        <v>300</v>
      </c>
      <c r="J1436" t="s">
        <v>304</v>
      </c>
    </row>
    <row r="1437" spans="1:11">
      <c r="A1437" t="s">
        <v>1781</v>
      </c>
      <c r="B1437" t="b">
        <v>0</v>
      </c>
      <c r="H1437" t="s">
        <v>302</v>
      </c>
      <c r="I1437" t="s">
        <v>300</v>
      </c>
      <c r="J1437" t="s">
        <v>304</v>
      </c>
    </row>
    <row r="1438" spans="1:11">
      <c r="A1438" t="s">
        <v>1782</v>
      </c>
      <c r="B1438" t="b">
        <v>0</v>
      </c>
      <c r="H1438" t="s">
        <v>302</v>
      </c>
      <c r="I1438" t="s">
        <v>300</v>
      </c>
      <c r="J1438" t="s">
        <v>304</v>
      </c>
    </row>
    <row r="1439" spans="1:11">
      <c r="A1439" t="s">
        <v>1783</v>
      </c>
      <c r="B1439" t="b">
        <v>0</v>
      </c>
      <c r="C1439" t="s">
        <v>301</v>
      </c>
      <c r="D1439" t="s">
        <v>322</v>
      </c>
      <c r="E1439" t="s">
        <v>301</v>
      </c>
      <c r="H1439" t="s">
        <v>301</v>
      </c>
      <c r="I1439" t="s">
        <v>300</v>
      </c>
      <c r="J1439" t="s">
        <v>916</v>
      </c>
      <c r="K1439" t="s">
        <v>2117</v>
      </c>
    </row>
    <row r="1440" spans="1:11">
      <c r="A1440" t="s">
        <v>1784</v>
      </c>
      <c r="B1440" t="b">
        <v>0</v>
      </c>
      <c r="C1440" t="s">
        <v>340</v>
      </c>
      <c r="D1440" t="s">
        <v>340</v>
      </c>
      <c r="E1440" t="s">
        <v>340</v>
      </c>
      <c r="H1440" t="s">
        <v>340</v>
      </c>
      <c r="I1440" t="s">
        <v>300</v>
      </c>
      <c r="J1440" t="s">
        <v>916</v>
      </c>
      <c r="K1440" t="s">
        <v>2117</v>
      </c>
    </row>
    <row r="1441" spans="1:11">
      <c r="A1441" t="s">
        <v>1785</v>
      </c>
      <c r="B1441" t="b">
        <v>0</v>
      </c>
      <c r="C1441" t="s">
        <v>340</v>
      </c>
      <c r="D1441" t="s">
        <v>322</v>
      </c>
      <c r="E1441" t="s">
        <v>323</v>
      </c>
      <c r="H1441" t="s">
        <v>301</v>
      </c>
      <c r="I1441" t="s">
        <v>300</v>
      </c>
      <c r="J1441" t="s">
        <v>916</v>
      </c>
      <c r="K1441" t="s">
        <v>2117</v>
      </c>
    </row>
    <row r="1442" spans="1:11">
      <c r="A1442" t="s">
        <v>1786</v>
      </c>
      <c r="B1442" t="b">
        <v>0</v>
      </c>
      <c r="C1442" t="s">
        <v>301</v>
      </c>
      <c r="H1442" t="s">
        <v>301</v>
      </c>
      <c r="I1442" t="s">
        <v>300</v>
      </c>
      <c r="J1442" t="s">
        <v>916</v>
      </c>
      <c r="K1442" t="s">
        <v>2117</v>
      </c>
    </row>
    <row r="1443" spans="1:11">
      <c r="A1443" t="s">
        <v>1787</v>
      </c>
      <c r="B1443" t="b">
        <v>0</v>
      </c>
      <c r="C1443" t="s">
        <v>301</v>
      </c>
      <c r="H1443" t="s">
        <v>301</v>
      </c>
      <c r="I1443" t="s">
        <v>300</v>
      </c>
      <c r="J1443" t="s">
        <v>916</v>
      </c>
      <c r="K1443" t="s">
        <v>2117</v>
      </c>
    </row>
    <row r="1444" spans="1:11">
      <c r="A1444" t="s">
        <v>1788</v>
      </c>
      <c r="B1444" t="b">
        <v>0</v>
      </c>
      <c r="C1444" t="s">
        <v>301</v>
      </c>
      <c r="E1444" t="s">
        <v>301</v>
      </c>
      <c r="H1444" t="s">
        <v>301</v>
      </c>
      <c r="I1444" t="s">
        <v>300</v>
      </c>
      <c r="J1444" t="s">
        <v>916</v>
      </c>
      <c r="K1444" t="s">
        <v>2117</v>
      </c>
    </row>
    <row r="1445" spans="1:11">
      <c r="A1445" t="s">
        <v>1789</v>
      </c>
      <c r="B1445" t="b">
        <v>0</v>
      </c>
      <c r="C1445" t="s">
        <v>301</v>
      </c>
      <c r="H1445" t="s">
        <v>301</v>
      </c>
      <c r="I1445" t="s">
        <v>300</v>
      </c>
      <c r="J1445" t="s">
        <v>916</v>
      </c>
      <c r="K1445" t="s">
        <v>2117</v>
      </c>
    </row>
    <row r="1446" spans="1:11">
      <c r="A1446" t="s">
        <v>1790</v>
      </c>
      <c r="B1446" t="b">
        <v>0</v>
      </c>
      <c r="C1446" t="s">
        <v>301</v>
      </c>
      <c r="D1446" t="s">
        <v>301</v>
      </c>
      <c r="E1446" t="s">
        <v>301</v>
      </c>
      <c r="H1446" t="s">
        <v>301</v>
      </c>
      <c r="I1446" t="s">
        <v>300</v>
      </c>
      <c r="J1446" t="s">
        <v>916</v>
      </c>
      <c r="K1446" t="s">
        <v>2117</v>
      </c>
    </row>
    <row r="1447" spans="1:11">
      <c r="A1447" t="s">
        <v>1791</v>
      </c>
      <c r="B1447" t="b">
        <v>0</v>
      </c>
      <c r="C1447" t="s">
        <v>340</v>
      </c>
      <c r="D1447" t="s">
        <v>340</v>
      </c>
      <c r="E1447" t="s">
        <v>340</v>
      </c>
      <c r="H1447" t="s">
        <v>340</v>
      </c>
      <c r="I1447" t="s">
        <v>300</v>
      </c>
      <c r="J1447" t="s">
        <v>916</v>
      </c>
      <c r="K1447" t="s">
        <v>2117</v>
      </c>
    </row>
    <row r="1448" spans="1:11">
      <c r="A1448" t="s">
        <v>1792</v>
      </c>
      <c r="B1448" t="b">
        <v>0</v>
      </c>
      <c r="C1448" t="s">
        <v>376</v>
      </c>
      <c r="D1448" t="s">
        <v>389</v>
      </c>
      <c r="E1448" t="s">
        <v>376</v>
      </c>
      <c r="H1448" t="s">
        <v>301</v>
      </c>
      <c r="I1448" t="s">
        <v>300</v>
      </c>
      <c r="J1448" t="s">
        <v>916</v>
      </c>
      <c r="K1448" t="s">
        <v>2117</v>
      </c>
    </row>
    <row r="1449" spans="1:11">
      <c r="A1449" t="s">
        <v>1793</v>
      </c>
      <c r="B1449" t="b">
        <v>0</v>
      </c>
      <c r="C1449" t="s">
        <v>301</v>
      </c>
      <c r="D1449" t="s">
        <v>389</v>
      </c>
      <c r="E1449" t="s">
        <v>301</v>
      </c>
      <c r="H1449" t="s">
        <v>301</v>
      </c>
      <c r="I1449" t="s">
        <v>300</v>
      </c>
      <c r="J1449" t="s">
        <v>916</v>
      </c>
      <c r="K1449" t="s">
        <v>2117</v>
      </c>
    </row>
    <row r="1450" spans="1:11">
      <c r="A1450" t="s">
        <v>1794</v>
      </c>
      <c r="B1450" t="b">
        <v>0</v>
      </c>
      <c r="C1450" t="s">
        <v>340</v>
      </c>
      <c r="D1450" t="s">
        <v>340</v>
      </c>
      <c r="E1450" t="s">
        <v>340</v>
      </c>
      <c r="H1450" t="s">
        <v>340</v>
      </c>
      <c r="I1450" t="s">
        <v>300</v>
      </c>
      <c r="J1450" t="s">
        <v>916</v>
      </c>
      <c r="K1450" t="s">
        <v>2117</v>
      </c>
    </row>
    <row r="1451" spans="1:11">
      <c r="A1451" t="s">
        <v>1795</v>
      </c>
      <c r="B1451" t="b">
        <v>0</v>
      </c>
      <c r="C1451" t="s">
        <v>301</v>
      </c>
      <c r="D1451" t="s">
        <v>301</v>
      </c>
      <c r="E1451" t="s">
        <v>301</v>
      </c>
      <c r="H1451" t="s">
        <v>301</v>
      </c>
      <c r="I1451" t="s">
        <v>300</v>
      </c>
      <c r="J1451" t="s">
        <v>916</v>
      </c>
      <c r="K1451" t="s">
        <v>2117</v>
      </c>
    </row>
    <row r="1452" spans="1:11">
      <c r="A1452" t="s">
        <v>1796</v>
      </c>
      <c r="B1452" t="b">
        <v>0</v>
      </c>
      <c r="H1452" t="s">
        <v>302</v>
      </c>
      <c r="I1452" t="s">
        <v>300</v>
      </c>
      <c r="J1452" t="s">
        <v>916</v>
      </c>
      <c r="K1452" t="s">
        <v>2117</v>
      </c>
    </row>
    <row r="1453" spans="1:11">
      <c r="A1453" t="s">
        <v>1797</v>
      </c>
      <c r="B1453" t="b">
        <v>0</v>
      </c>
      <c r="H1453" t="s">
        <v>302</v>
      </c>
      <c r="I1453" t="s">
        <v>300</v>
      </c>
      <c r="J1453" t="s">
        <v>979</v>
      </c>
    </row>
    <row r="1454" spans="1:11">
      <c r="A1454" t="s">
        <v>1798</v>
      </c>
      <c r="B1454" t="b">
        <v>0</v>
      </c>
      <c r="H1454" t="s">
        <v>302</v>
      </c>
      <c r="I1454" t="s">
        <v>300</v>
      </c>
      <c r="J1454" t="s">
        <v>979</v>
      </c>
    </row>
    <row r="1455" spans="1:11">
      <c r="A1455" t="s">
        <v>1799</v>
      </c>
      <c r="B1455" t="b">
        <v>0</v>
      </c>
      <c r="H1455" t="s">
        <v>302</v>
      </c>
      <c r="I1455" t="s">
        <v>300</v>
      </c>
      <c r="J1455" t="s">
        <v>979</v>
      </c>
    </row>
    <row r="1456" spans="1:11">
      <c r="A1456" t="s">
        <v>1800</v>
      </c>
      <c r="B1456" t="b">
        <v>0</v>
      </c>
      <c r="H1456" t="s">
        <v>302</v>
      </c>
      <c r="I1456" t="s">
        <v>300</v>
      </c>
      <c r="J1456" t="s">
        <v>979</v>
      </c>
    </row>
    <row r="1457" spans="1:10">
      <c r="A1457" t="s">
        <v>1801</v>
      </c>
      <c r="B1457" t="b">
        <v>0</v>
      </c>
      <c r="H1457" t="s">
        <v>302</v>
      </c>
      <c r="I1457" t="s">
        <v>300</v>
      </c>
      <c r="J1457" t="s">
        <v>979</v>
      </c>
    </row>
    <row r="1458" spans="1:10">
      <c r="A1458" t="s">
        <v>1802</v>
      </c>
      <c r="B1458" t="b">
        <v>0</v>
      </c>
      <c r="H1458" t="s">
        <v>302</v>
      </c>
      <c r="I1458" t="s">
        <v>300</v>
      </c>
      <c r="J1458" t="s">
        <v>979</v>
      </c>
    </row>
    <row r="1459" spans="1:10">
      <c r="A1459" t="s">
        <v>1803</v>
      </c>
      <c r="B1459" t="b">
        <v>0</v>
      </c>
      <c r="H1459" t="s">
        <v>302</v>
      </c>
      <c r="I1459" t="s">
        <v>300</v>
      </c>
      <c r="J1459" t="s">
        <v>979</v>
      </c>
    </row>
    <row r="1460" spans="1:10">
      <c r="A1460" t="s">
        <v>1804</v>
      </c>
      <c r="B1460" t="b">
        <v>0</v>
      </c>
      <c r="H1460" t="s">
        <v>302</v>
      </c>
      <c r="I1460" t="s">
        <v>300</v>
      </c>
      <c r="J1460" t="s">
        <v>979</v>
      </c>
    </row>
    <row r="1461" spans="1:10">
      <c r="A1461" t="s">
        <v>1805</v>
      </c>
      <c r="B1461" t="b">
        <v>0</v>
      </c>
      <c r="H1461" t="s">
        <v>302</v>
      </c>
      <c r="I1461" t="s">
        <v>300</v>
      </c>
      <c r="J1461" t="s">
        <v>979</v>
      </c>
    </row>
    <row r="1462" spans="1:10">
      <c r="A1462" t="s">
        <v>1806</v>
      </c>
      <c r="B1462" t="b">
        <v>0</v>
      </c>
      <c r="H1462" t="s">
        <v>302</v>
      </c>
      <c r="I1462" t="s">
        <v>300</v>
      </c>
      <c r="J1462" t="s">
        <v>518</v>
      </c>
    </row>
    <row r="1463" spans="1:10">
      <c r="A1463" t="s">
        <v>1807</v>
      </c>
      <c r="B1463" t="b">
        <v>0</v>
      </c>
      <c r="H1463" t="s">
        <v>302</v>
      </c>
      <c r="I1463" t="s">
        <v>300</v>
      </c>
      <c r="J1463" t="s">
        <v>518</v>
      </c>
    </row>
    <row r="1464" spans="1:10">
      <c r="A1464" t="s">
        <v>1808</v>
      </c>
      <c r="B1464" t="b">
        <v>0</v>
      </c>
      <c r="H1464" t="s">
        <v>302</v>
      </c>
      <c r="I1464" t="s">
        <v>300</v>
      </c>
      <c r="J1464" t="s">
        <v>518</v>
      </c>
    </row>
    <row r="1465" spans="1:10">
      <c r="A1465" t="s">
        <v>1809</v>
      </c>
      <c r="B1465" t="b">
        <v>0</v>
      </c>
      <c r="H1465" t="s">
        <v>302</v>
      </c>
      <c r="I1465" t="s">
        <v>300</v>
      </c>
      <c r="J1465" t="s">
        <v>518</v>
      </c>
    </row>
    <row r="1466" spans="1:10">
      <c r="A1466" t="s">
        <v>1810</v>
      </c>
      <c r="B1466" t="b">
        <v>0</v>
      </c>
      <c r="H1466" t="s">
        <v>302</v>
      </c>
      <c r="I1466" t="s">
        <v>300</v>
      </c>
      <c r="J1466" t="s">
        <v>518</v>
      </c>
    </row>
    <row r="1467" spans="1:10">
      <c r="A1467" t="s">
        <v>1811</v>
      </c>
      <c r="B1467" t="b">
        <v>0</v>
      </c>
      <c r="H1467" t="s">
        <v>302</v>
      </c>
      <c r="I1467" t="s">
        <v>300</v>
      </c>
      <c r="J1467" t="s">
        <v>518</v>
      </c>
    </row>
    <row r="1468" spans="1:10">
      <c r="A1468" t="s">
        <v>1812</v>
      </c>
      <c r="B1468" t="b">
        <v>0</v>
      </c>
      <c r="H1468" t="s">
        <v>302</v>
      </c>
      <c r="I1468" t="s">
        <v>300</v>
      </c>
      <c r="J1468" t="s">
        <v>518</v>
      </c>
    </row>
    <row r="1469" spans="1:10">
      <c r="A1469" t="s">
        <v>1813</v>
      </c>
      <c r="B1469" t="b">
        <v>0</v>
      </c>
      <c r="H1469" t="s">
        <v>302</v>
      </c>
      <c r="I1469" t="s">
        <v>300</v>
      </c>
      <c r="J1469" t="s">
        <v>518</v>
      </c>
    </row>
    <row r="1470" spans="1:10">
      <c r="A1470" t="s">
        <v>1814</v>
      </c>
      <c r="B1470" t="b">
        <v>0</v>
      </c>
      <c r="H1470" t="s">
        <v>302</v>
      </c>
      <c r="I1470" t="s">
        <v>300</v>
      </c>
      <c r="J1470" t="s">
        <v>518</v>
      </c>
    </row>
    <row r="1471" spans="1:10">
      <c r="A1471" t="s">
        <v>1815</v>
      </c>
      <c r="B1471" t="b">
        <v>0</v>
      </c>
      <c r="H1471" t="s">
        <v>302</v>
      </c>
      <c r="I1471" t="s">
        <v>300</v>
      </c>
      <c r="J1471" t="s">
        <v>518</v>
      </c>
    </row>
    <row r="1472" spans="1:10">
      <c r="A1472" t="s">
        <v>1816</v>
      </c>
      <c r="B1472" t="b">
        <v>0</v>
      </c>
      <c r="H1472" t="s">
        <v>302</v>
      </c>
      <c r="I1472" t="s">
        <v>300</v>
      </c>
      <c r="J1472" t="s">
        <v>518</v>
      </c>
    </row>
    <row r="1473" spans="1:11">
      <c r="A1473" t="s">
        <v>1817</v>
      </c>
      <c r="B1473" t="b">
        <v>0</v>
      </c>
      <c r="H1473" t="s">
        <v>302</v>
      </c>
      <c r="I1473" t="s">
        <v>300</v>
      </c>
      <c r="J1473" t="s">
        <v>518</v>
      </c>
    </row>
    <row r="1474" spans="1:11">
      <c r="A1474" t="s">
        <v>1818</v>
      </c>
      <c r="B1474" t="b">
        <v>0</v>
      </c>
      <c r="H1474" t="s">
        <v>302</v>
      </c>
      <c r="I1474" t="s">
        <v>300</v>
      </c>
      <c r="J1474" t="s">
        <v>411</v>
      </c>
    </row>
    <row r="1475" spans="1:11">
      <c r="A1475" t="s">
        <v>1819</v>
      </c>
      <c r="B1475" t="b">
        <v>0</v>
      </c>
      <c r="H1475" t="s">
        <v>302</v>
      </c>
      <c r="I1475" t="s">
        <v>300</v>
      </c>
      <c r="J1475" t="s">
        <v>411</v>
      </c>
    </row>
    <row r="1476" spans="1:11">
      <c r="A1476" t="s">
        <v>1820</v>
      </c>
      <c r="B1476" t="b">
        <v>0</v>
      </c>
      <c r="H1476" t="s">
        <v>302</v>
      </c>
      <c r="I1476" t="s">
        <v>300</v>
      </c>
      <c r="J1476" t="s">
        <v>411</v>
      </c>
    </row>
    <row r="1477" spans="1:11">
      <c r="A1477" t="s">
        <v>1821</v>
      </c>
      <c r="B1477" t="b">
        <v>0</v>
      </c>
      <c r="H1477" t="s">
        <v>302</v>
      </c>
      <c r="I1477" t="s">
        <v>300</v>
      </c>
      <c r="J1477" t="s">
        <v>539</v>
      </c>
    </row>
    <row r="1478" spans="1:11">
      <c r="A1478" t="s">
        <v>1822</v>
      </c>
      <c r="B1478" t="b">
        <v>0</v>
      </c>
      <c r="H1478" t="s">
        <v>302</v>
      </c>
      <c r="I1478" t="s">
        <v>300</v>
      </c>
      <c r="J1478" t="s">
        <v>539</v>
      </c>
    </row>
    <row r="1479" spans="1:11">
      <c r="A1479" t="s">
        <v>1823</v>
      </c>
      <c r="B1479" t="b">
        <v>0</v>
      </c>
      <c r="C1479" t="s">
        <v>301</v>
      </c>
      <c r="D1479" t="s">
        <v>301</v>
      </c>
      <c r="E1479" t="s">
        <v>301</v>
      </c>
      <c r="H1479" t="s">
        <v>302</v>
      </c>
      <c r="I1479" t="s">
        <v>300</v>
      </c>
      <c r="J1479" t="s">
        <v>539</v>
      </c>
    </row>
    <row r="1480" spans="1:11">
      <c r="A1480" t="s">
        <v>1824</v>
      </c>
      <c r="B1480" t="b">
        <v>0</v>
      </c>
      <c r="H1480" t="s">
        <v>302</v>
      </c>
      <c r="I1480" t="s">
        <v>300</v>
      </c>
      <c r="J1480" t="s">
        <v>539</v>
      </c>
    </row>
    <row r="1481" spans="1:11">
      <c r="A1481" t="s">
        <v>1825</v>
      </c>
      <c r="B1481" t="b">
        <v>0</v>
      </c>
      <c r="H1481" t="s">
        <v>302</v>
      </c>
      <c r="I1481" t="s">
        <v>300</v>
      </c>
      <c r="J1481" t="s">
        <v>539</v>
      </c>
    </row>
    <row r="1482" spans="1:11">
      <c r="A1482" t="s">
        <v>1826</v>
      </c>
      <c r="B1482" t="b">
        <v>0</v>
      </c>
      <c r="H1482" t="s">
        <v>302</v>
      </c>
      <c r="I1482" t="s">
        <v>300</v>
      </c>
      <c r="J1482" t="s">
        <v>539</v>
      </c>
    </row>
    <row r="1483" spans="1:11">
      <c r="A1483" t="s">
        <v>1827</v>
      </c>
      <c r="B1483" t="b">
        <v>0</v>
      </c>
      <c r="H1483" t="s">
        <v>302</v>
      </c>
      <c r="I1483" t="s">
        <v>300</v>
      </c>
      <c r="J1483" t="s">
        <v>539</v>
      </c>
    </row>
    <row r="1484" spans="1:11">
      <c r="A1484" t="s">
        <v>1828</v>
      </c>
      <c r="B1484" t="b">
        <v>0</v>
      </c>
      <c r="H1484" t="s">
        <v>302</v>
      </c>
      <c r="I1484" t="s">
        <v>300</v>
      </c>
      <c r="J1484" t="s">
        <v>539</v>
      </c>
    </row>
    <row r="1485" spans="1:11">
      <c r="A1485" t="s">
        <v>1829</v>
      </c>
      <c r="B1485" t="b">
        <v>0</v>
      </c>
      <c r="H1485" t="s">
        <v>302</v>
      </c>
      <c r="I1485" t="s">
        <v>300</v>
      </c>
      <c r="J1485" t="s">
        <v>539</v>
      </c>
    </row>
    <row r="1486" spans="1:11">
      <c r="A1486" t="s">
        <v>1830</v>
      </c>
      <c r="B1486" t="b">
        <v>0</v>
      </c>
      <c r="H1486" t="s">
        <v>302</v>
      </c>
      <c r="I1486" t="s">
        <v>300</v>
      </c>
      <c r="J1486" t="s">
        <v>539</v>
      </c>
    </row>
    <row r="1487" spans="1:11">
      <c r="A1487" t="s">
        <v>1831</v>
      </c>
      <c r="B1487" t="b">
        <v>0</v>
      </c>
      <c r="H1487" t="s">
        <v>302</v>
      </c>
      <c r="I1487" t="s">
        <v>300</v>
      </c>
      <c r="J1487" t="s">
        <v>539</v>
      </c>
    </row>
    <row r="1488" spans="1:11">
      <c r="A1488" t="s">
        <v>1832</v>
      </c>
      <c r="B1488" t="b">
        <v>0</v>
      </c>
      <c r="C1488" t="s">
        <v>301</v>
      </c>
      <c r="D1488" t="s">
        <v>301</v>
      </c>
      <c r="E1488" t="s">
        <v>301</v>
      </c>
      <c r="H1488" t="s">
        <v>302</v>
      </c>
      <c r="I1488" t="s">
        <v>300</v>
      </c>
      <c r="J1488" t="s">
        <v>1833</v>
      </c>
      <c r="K1488">
        <v>2500</v>
      </c>
    </row>
    <row r="1489" spans="1:10">
      <c r="A1489" t="s">
        <v>1834</v>
      </c>
      <c r="B1489" t="b">
        <v>0</v>
      </c>
      <c r="H1489" t="s">
        <v>302</v>
      </c>
      <c r="I1489" t="s">
        <v>300</v>
      </c>
      <c r="J1489" t="s">
        <v>411</v>
      </c>
    </row>
    <row r="1490" spans="1:10">
      <c r="A1490" t="s">
        <v>1835</v>
      </c>
      <c r="B1490" t="b">
        <v>0</v>
      </c>
      <c r="H1490" t="s">
        <v>302</v>
      </c>
      <c r="I1490" t="s">
        <v>300</v>
      </c>
      <c r="J1490" t="s">
        <v>411</v>
      </c>
    </row>
    <row r="1491" spans="1:10">
      <c r="A1491" t="s">
        <v>1836</v>
      </c>
      <c r="B1491" t="b">
        <v>0</v>
      </c>
      <c r="H1491" t="s">
        <v>302</v>
      </c>
      <c r="I1491" t="s">
        <v>300</v>
      </c>
      <c r="J1491" t="s">
        <v>411</v>
      </c>
    </row>
    <row r="1492" spans="1:10">
      <c r="A1492" t="s">
        <v>1837</v>
      </c>
      <c r="B1492" t="b">
        <v>0</v>
      </c>
      <c r="H1492" t="s">
        <v>302</v>
      </c>
      <c r="I1492" t="s">
        <v>300</v>
      </c>
      <c r="J1492" t="s">
        <v>411</v>
      </c>
    </row>
    <row r="1493" spans="1:10">
      <c r="A1493" t="s">
        <v>1838</v>
      </c>
      <c r="B1493" t="b">
        <v>0</v>
      </c>
      <c r="H1493" t="s">
        <v>302</v>
      </c>
      <c r="I1493" t="s">
        <v>300</v>
      </c>
      <c r="J1493" t="s">
        <v>411</v>
      </c>
    </row>
    <row r="1494" spans="1:10">
      <c r="A1494" t="s">
        <v>1839</v>
      </c>
      <c r="B1494" t="b">
        <v>0</v>
      </c>
      <c r="H1494" t="s">
        <v>302</v>
      </c>
      <c r="I1494" t="s">
        <v>300</v>
      </c>
      <c r="J1494" t="s">
        <v>411</v>
      </c>
    </row>
    <row r="1495" spans="1:10">
      <c r="A1495" t="s">
        <v>1840</v>
      </c>
      <c r="B1495" t="b">
        <v>0</v>
      </c>
      <c r="H1495" t="s">
        <v>302</v>
      </c>
      <c r="I1495" t="s">
        <v>300</v>
      </c>
      <c r="J1495" t="s">
        <v>411</v>
      </c>
    </row>
    <row r="1496" spans="1:10">
      <c r="A1496" t="s">
        <v>1841</v>
      </c>
      <c r="B1496" t="b">
        <v>0</v>
      </c>
      <c r="H1496" t="s">
        <v>302</v>
      </c>
      <c r="I1496" t="s">
        <v>300</v>
      </c>
      <c r="J1496" t="s">
        <v>411</v>
      </c>
    </row>
    <row r="1497" spans="1:10">
      <c r="A1497" t="s">
        <v>1842</v>
      </c>
      <c r="B1497" t="b">
        <v>0</v>
      </c>
      <c r="H1497" t="s">
        <v>302</v>
      </c>
      <c r="I1497" t="s">
        <v>300</v>
      </c>
      <c r="J1497" t="s">
        <v>411</v>
      </c>
    </row>
    <row r="1498" spans="1:10">
      <c r="A1498" t="s">
        <v>1843</v>
      </c>
      <c r="B1498" t="b">
        <v>0</v>
      </c>
      <c r="H1498" t="s">
        <v>302</v>
      </c>
      <c r="I1498" t="s">
        <v>300</v>
      </c>
      <c r="J1498" t="s">
        <v>411</v>
      </c>
    </row>
    <row r="1499" spans="1:10">
      <c r="A1499" t="s">
        <v>1844</v>
      </c>
      <c r="B1499" t="b">
        <v>0</v>
      </c>
      <c r="C1499" t="s">
        <v>301</v>
      </c>
      <c r="D1499" t="s">
        <v>1845</v>
      </c>
      <c r="E1499" t="s">
        <v>301</v>
      </c>
      <c r="H1499" t="s">
        <v>302</v>
      </c>
      <c r="I1499" t="s">
        <v>300</v>
      </c>
      <c r="J1499" t="s">
        <v>539</v>
      </c>
    </row>
    <row r="1500" spans="1:10">
      <c r="A1500" t="s">
        <v>1846</v>
      </c>
      <c r="B1500" t="b">
        <v>0</v>
      </c>
      <c r="C1500" t="s">
        <v>301</v>
      </c>
      <c r="D1500" t="s">
        <v>301</v>
      </c>
      <c r="E1500" t="s">
        <v>301</v>
      </c>
      <c r="H1500" t="s">
        <v>302</v>
      </c>
      <c r="I1500" t="s">
        <v>300</v>
      </c>
      <c r="J1500" t="s">
        <v>539</v>
      </c>
    </row>
    <row r="1501" spans="1:10">
      <c r="A1501" t="s">
        <v>1847</v>
      </c>
      <c r="B1501" t="b">
        <v>0</v>
      </c>
      <c r="C1501" t="s">
        <v>353</v>
      </c>
      <c r="D1501" t="s">
        <v>354</v>
      </c>
      <c r="E1501" t="s">
        <v>353</v>
      </c>
      <c r="H1501" t="s">
        <v>302</v>
      </c>
      <c r="I1501" t="s">
        <v>300</v>
      </c>
      <c r="J1501" t="s">
        <v>539</v>
      </c>
    </row>
    <row r="1502" spans="1:10">
      <c r="A1502" t="s">
        <v>1848</v>
      </c>
      <c r="B1502" t="b">
        <v>0</v>
      </c>
      <c r="C1502" t="s">
        <v>301</v>
      </c>
      <c r="D1502" t="s">
        <v>322</v>
      </c>
      <c r="E1502" t="s">
        <v>323</v>
      </c>
      <c r="H1502" t="s">
        <v>302</v>
      </c>
      <c r="I1502" t="s">
        <v>300</v>
      </c>
      <c r="J1502" t="s">
        <v>539</v>
      </c>
    </row>
    <row r="1503" spans="1:10">
      <c r="A1503" t="s">
        <v>1849</v>
      </c>
      <c r="B1503" t="b">
        <v>0</v>
      </c>
      <c r="C1503" t="s">
        <v>353</v>
      </c>
      <c r="D1503" t="s">
        <v>354</v>
      </c>
      <c r="E1503" t="s">
        <v>353</v>
      </c>
      <c r="H1503" t="s">
        <v>302</v>
      </c>
      <c r="I1503" t="s">
        <v>300</v>
      </c>
      <c r="J1503" t="s">
        <v>539</v>
      </c>
    </row>
    <row r="1504" spans="1:10">
      <c r="A1504" t="s">
        <v>1850</v>
      </c>
      <c r="B1504" t="b">
        <v>0</v>
      </c>
      <c r="C1504" t="s">
        <v>353</v>
      </c>
      <c r="D1504" t="s">
        <v>354</v>
      </c>
      <c r="E1504" t="s">
        <v>353</v>
      </c>
      <c r="H1504" t="s">
        <v>302</v>
      </c>
      <c r="I1504" t="s">
        <v>300</v>
      </c>
      <c r="J1504" t="s">
        <v>539</v>
      </c>
    </row>
    <row r="1505" spans="1:10">
      <c r="A1505" t="s">
        <v>1851</v>
      </c>
      <c r="B1505" t="b">
        <v>0</v>
      </c>
      <c r="C1505" t="s">
        <v>301</v>
      </c>
      <c r="D1505" t="s">
        <v>322</v>
      </c>
      <c r="E1505" t="s">
        <v>323</v>
      </c>
      <c r="H1505" t="s">
        <v>302</v>
      </c>
      <c r="I1505" t="s">
        <v>300</v>
      </c>
      <c r="J1505" t="s">
        <v>539</v>
      </c>
    </row>
    <row r="1506" spans="1:10">
      <c r="A1506" t="s">
        <v>1852</v>
      </c>
      <c r="B1506" t="b">
        <v>0</v>
      </c>
      <c r="C1506" t="s">
        <v>301</v>
      </c>
      <c r="D1506" t="s">
        <v>322</v>
      </c>
      <c r="E1506" t="s">
        <v>323</v>
      </c>
      <c r="H1506" t="s">
        <v>302</v>
      </c>
      <c r="I1506" t="s">
        <v>300</v>
      </c>
      <c r="J1506" t="s">
        <v>539</v>
      </c>
    </row>
    <row r="1507" spans="1:10">
      <c r="A1507" t="s">
        <v>1853</v>
      </c>
      <c r="B1507" t="b">
        <v>0</v>
      </c>
      <c r="C1507" t="s">
        <v>301</v>
      </c>
      <c r="D1507" t="s">
        <v>322</v>
      </c>
      <c r="E1507" t="s">
        <v>323</v>
      </c>
      <c r="H1507" t="s">
        <v>302</v>
      </c>
      <c r="I1507" t="s">
        <v>300</v>
      </c>
      <c r="J1507" t="s">
        <v>539</v>
      </c>
    </row>
    <row r="1508" spans="1:10">
      <c r="A1508" t="s">
        <v>1854</v>
      </c>
      <c r="B1508" t="b">
        <v>0</v>
      </c>
      <c r="C1508" t="s">
        <v>301</v>
      </c>
      <c r="D1508" t="s">
        <v>322</v>
      </c>
      <c r="E1508" t="s">
        <v>323</v>
      </c>
      <c r="H1508" t="s">
        <v>302</v>
      </c>
      <c r="I1508" t="s">
        <v>300</v>
      </c>
      <c r="J1508" t="s">
        <v>539</v>
      </c>
    </row>
    <row r="1509" spans="1:10">
      <c r="A1509" t="s">
        <v>1855</v>
      </c>
      <c r="B1509" t="b">
        <v>0</v>
      </c>
      <c r="C1509" t="s">
        <v>301</v>
      </c>
      <c r="D1509" t="s">
        <v>322</v>
      </c>
      <c r="E1509" t="s">
        <v>323</v>
      </c>
      <c r="H1509" t="s">
        <v>302</v>
      </c>
      <c r="I1509" t="s">
        <v>300</v>
      </c>
      <c r="J1509" t="s">
        <v>539</v>
      </c>
    </row>
    <row r="1510" spans="1:10">
      <c r="A1510" t="s">
        <v>1856</v>
      </c>
      <c r="B1510" t="b">
        <v>0</v>
      </c>
      <c r="C1510" t="s">
        <v>301</v>
      </c>
      <c r="D1510" t="s">
        <v>322</v>
      </c>
      <c r="E1510" t="s">
        <v>323</v>
      </c>
      <c r="H1510" t="s">
        <v>302</v>
      </c>
      <c r="I1510" t="s">
        <v>300</v>
      </c>
      <c r="J1510" t="s">
        <v>539</v>
      </c>
    </row>
    <row r="1511" spans="1:10">
      <c r="A1511" t="s">
        <v>1857</v>
      </c>
      <c r="B1511" t="b">
        <v>0</v>
      </c>
      <c r="C1511" t="s">
        <v>340</v>
      </c>
      <c r="D1511" t="s">
        <v>340</v>
      </c>
      <c r="E1511" t="s">
        <v>340</v>
      </c>
      <c r="H1511" t="s">
        <v>302</v>
      </c>
      <c r="I1511" t="s">
        <v>300</v>
      </c>
      <c r="J1511" t="s">
        <v>539</v>
      </c>
    </row>
    <row r="1512" spans="1:10">
      <c r="A1512" t="s">
        <v>1858</v>
      </c>
      <c r="B1512" t="b">
        <v>0</v>
      </c>
      <c r="C1512" t="s">
        <v>340</v>
      </c>
      <c r="D1512" t="s">
        <v>340</v>
      </c>
      <c r="E1512" t="s">
        <v>340</v>
      </c>
      <c r="H1512" t="s">
        <v>302</v>
      </c>
      <c r="I1512" t="s">
        <v>300</v>
      </c>
      <c r="J1512" t="s">
        <v>539</v>
      </c>
    </row>
    <row r="1513" spans="1:10">
      <c r="A1513" t="s">
        <v>1859</v>
      </c>
      <c r="B1513" t="b">
        <v>0</v>
      </c>
      <c r="H1513" t="s">
        <v>302</v>
      </c>
      <c r="I1513" t="s">
        <v>300</v>
      </c>
      <c r="J1513" t="s">
        <v>539</v>
      </c>
    </row>
    <row r="1514" spans="1:10">
      <c r="A1514" t="s">
        <v>1860</v>
      </c>
      <c r="B1514" t="b">
        <v>0</v>
      </c>
      <c r="H1514" t="s">
        <v>302</v>
      </c>
      <c r="I1514" t="s">
        <v>300</v>
      </c>
      <c r="J1514" t="s">
        <v>539</v>
      </c>
    </row>
    <row r="1515" spans="1:10">
      <c r="A1515" t="s">
        <v>1861</v>
      </c>
      <c r="B1515" t="b">
        <v>0</v>
      </c>
      <c r="H1515" t="s">
        <v>302</v>
      </c>
      <c r="I1515" t="s">
        <v>300</v>
      </c>
      <c r="J1515" t="s">
        <v>539</v>
      </c>
    </row>
    <row r="1516" spans="1:10">
      <c r="A1516" t="s">
        <v>1862</v>
      </c>
      <c r="B1516" t="b">
        <v>0</v>
      </c>
      <c r="H1516" t="s">
        <v>302</v>
      </c>
      <c r="I1516" t="s">
        <v>300</v>
      </c>
      <c r="J1516" t="s">
        <v>539</v>
      </c>
    </row>
    <row r="1517" spans="1:10">
      <c r="A1517" t="s">
        <v>1863</v>
      </c>
      <c r="B1517" t="b">
        <v>0</v>
      </c>
      <c r="H1517" t="s">
        <v>302</v>
      </c>
      <c r="I1517" t="s">
        <v>300</v>
      </c>
      <c r="J1517" t="s">
        <v>539</v>
      </c>
    </row>
    <row r="1518" spans="1:10">
      <c r="A1518" t="s">
        <v>1864</v>
      </c>
      <c r="B1518" t="b">
        <v>0</v>
      </c>
      <c r="H1518" t="s">
        <v>302</v>
      </c>
      <c r="I1518" t="s">
        <v>300</v>
      </c>
      <c r="J1518" t="s">
        <v>539</v>
      </c>
    </row>
    <row r="1519" spans="1:10">
      <c r="A1519" t="s">
        <v>1865</v>
      </c>
      <c r="B1519" t="b">
        <v>0</v>
      </c>
      <c r="H1519" t="s">
        <v>302</v>
      </c>
      <c r="I1519" t="s">
        <v>300</v>
      </c>
      <c r="J1519" t="s">
        <v>539</v>
      </c>
    </row>
    <row r="1520" spans="1:10">
      <c r="A1520" t="s">
        <v>1866</v>
      </c>
      <c r="B1520" t="b">
        <v>0</v>
      </c>
      <c r="H1520" t="s">
        <v>302</v>
      </c>
      <c r="I1520" t="s">
        <v>300</v>
      </c>
      <c r="J1520" t="s">
        <v>539</v>
      </c>
    </row>
    <row r="1521" spans="1:10">
      <c r="A1521" t="s">
        <v>1867</v>
      </c>
      <c r="B1521" t="b">
        <v>0</v>
      </c>
      <c r="H1521" t="s">
        <v>302</v>
      </c>
      <c r="I1521" t="s">
        <v>300</v>
      </c>
      <c r="J1521" t="s">
        <v>539</v>
      </c>
    </row>
    <row r="1522" spans="1:10">
      <c r="A1522" t="s">
        <v>1868</v>
      </c>
      <c r="B1522" t="b">
        <v>0</v>
      </c>
      <c r="H1522" t="s">
        <v>302</v>
      </c>
      <c r="I1522" t="s">
        <v>300</v>
      </c>
      <c r="J1522" t="s">
        <v>539</v>
      </c>
    </row>
    <row r="1523" spans="1:10">
      <c r="A1523" t="s">
        <v>1869</v>
      </c>
      <c r="B1523" t="b">
        <v>0</v>
      </c>
      <c r="H1523" t="s">
        <v>302</v>
      </c>
      <c r="I1523" t="s">
        <v>300</v>
      </c>
      <c r="J1523" t="s">
        <v>539</v>
      </c>
    </row>
    <row r="1524" spans="1:10">
      <c r="A1524" t="s">
        <v>1870</v>
      </c>
      <c r="B1524" t="b">
        <v>0</v>
      </c>
      <c r="H1524" t="s">
        <v>302</v>
      </c>
      <c r="I1524" t="s">
        <v>300</v>
      </c>
      <c r="J1524" t="s">
        <v>539</v>
      </c>
    </row>
    <row r="1525" spans="1:10">
      <c r="A1525" t="s">
        <v>1871</v>
      </c>
      <c r="B1525" t="b">
        <v>0</v>
      </c>
      <c r="H1525" t="s">
        <v>302</v>
      </c>
      <c r="I1525" t="s">
        <v>300</v>
      </c>
      <c r="J1525" t="s">
        <v>304</v>
      </c>
    </row>
    <row r="1526" spans="1:10">
      <c r="A1526" t="s">
        <v>1872</v>
      </c>
      <c r="B1526" t="b">
        <v>0</v>
      </c>
      <c r="H1526" t="s">
        <v>302</v>
      </c>
      <c r="I1526" t="s">
        <v>300</v>
      </c>
      <c r="J1526" t="s">
        <v>304</v>
      </c>
    </row>
    <row r="1527" spans="1:10">
      <c r="A1527" t="s">
        <v>1873</v>
      </c>
      <c r="B1527" t="b">
        <v>0</v>
      </c>
      <c r="H1527" t="s">
        <v>302</v>
      </c>
      <c r="I1527" t="s">
        <v>300</v>
      </c>
      <c r="J1527" t="s">
        <v>304</v>
      </c>
    </row>
    <row r="1528" spans="1:10">
      <c r="A1528" t="s">
        <v>1874</v>
      </c>
      <c r="B1528" t="b">
        <v>0</v>
      </c>
      <c r="H1528" t="s">
        <v>302</v>
      </c>
      <c r="I1528" t="s">
        <v>300</v>
      </c>
      <c r="J1528" t="s">
        <v>304</v>
      </c>
    </row>
    <row r="1529" spans="1:10">
      <c r="A1529" t="s">
        <v>1875</v>
      </c>
      <c r="B1529" t="b">
        <v>0</v>
      </c>
      <c r="H1529" t="s">
        <v>302</v>
      </c>
      <c r="I1529" t="s">
        <v>300</v>
      </c>
      <c r="J1529" t="s">
        <v>304</v>
      </c>
    </row>
    <row r="1530" spans="1:10">
      <c r="A1530" t="s">
        <v>1876</v>
      </c>
      <c r="B1530" t="b">
        <v>0</v>
      </c>
      <c r="H1530" t="s">
        <v>302</v>
      </c>
      <c r="I1530" t="s">
        <v>300</v>
      </c>
      <c r="J1530" t="s">
        <v>304</v>
      </c>
    </row>
    <row r="1531" spans="1:10">
      <c r="A1531" t="s">
        <v>1877</v>
      </c>
      <c r="B1531" t="b">
        <v>0</v>
      </c>
      <c r="C1531" t="s">
        <v>301</v>
      </c>
      <c r="D1531" t="s">
        <v>301</v>
      </c>
      <c r="E1531" t="s">
        <v>301</v>
      </c>
      <c r="H1531" t="s">
        <v>302</v>
      </c>
      <c r="I1531" t="s">
        <v>300</v>
      </c>
      <c r="J1531" t="s">
        <v>539</v>
      </c>
    </row>
    <row r="1532" spans="1:10">
      <c r="A1532" t="s">
        <v>1878</v>
      </c>
      <c r="B1532" t="b">
        <v>0</v>
      </c>
      <c r="C1532" t="s">
        <v>301</v>
      </c>
      <c r="D1532" t="s">
        <v>301</v>
      </c>
      <c r="E1532" t="s">
        <v>301</v>
      </c>
      <c r="H1532" t="s">
        <v>302</v>
      </c>
      <c r="I1532" t="s">
        <v>300</v>
      </c>
      <c r="J1532" t="s">
        <v>539</v>
      </c>
    </row>
    <row r="1533" spans="1:10">
      <c r="A1533" t="s">
        <v>1879</v>
      </c>
      <c r="B1533" t="b">
        <v>0</v>
      </c>
      <c r="C1533" t="s">
        <v>301</v>
      </c>
      <c r="D1533" t="s">
        <v>301</v>
      </c>
      <c r="E1533" t="s">
        <v>301</v>
      </c>
      <c r="H1533" t="s">
        <v>302</v>
      </c>
      <c r="I1533" t="s">
        <v>300</v>
      </c>
      <c r="J1533" t="s">
        <v>539</v>
      </c>
    </row>
    <row r="1534" spans="1:10">
      <c r="A1534" t="s">
        <v>1880</v>
      </c>
      <c r="B1534" t="b">
        <v>0</v>
      </c>
      <c r="C1534" t="s">
        <v>301</v>
      </c>
      <c r="D1534" t="s">
        <v>301</v>
      </c>
      <c r="E1534" t="s">
        <v>301</v>
      </c>
      <c r="H1534" t="s">
        <v>302</v>
      </c>
      <c r="I1534" t="s">
        <v>300</v>
      </c>
      <c r="J1534" t="s">
        <v>539</v>
      </c>
    </row>
    <row r="1535" spans="1:10">
      <c r="A1535" t="s">
        <v>1881</v>
      </c>
      <c r="B1535" t="b">
        <v>0</v>
      </c>
      <c r="C1535" t="s">
        <v>353</v>
      </c>
      <c r="D1535" t="s">
        <v>354</v>
      </c>
      <c r="E1535" t="s">
        <v>353</v>
      </c>
      <c r="H1535" t="s">
        <v>302</v>
      </c>
      <c r="I1535" t="s">
        <v>300</v>
      </c>
      <c r="J1535" t="s">
        <v>539</v>
      </c>
    </row>
    <row r="1536" spans="1:10">
      <c r="A1536" t="s">
        <v>1882</v>
      </c>
      <c r="B1536" t="b">
        <v>0</v>
      </c>
      <c r="C1536" t="s">
        <v>353</v>
      </c>
      <c r="D1536" t="s">
        <v>354</v>
      </c>
      <c r="E1536" t="s">
        <v>353</v>
      </c>
      <c r="H1536" t="s">
        <v>302</v>
      </c>
      <c r="I1536" t="s">
        <v>300</v>
      </c>
      <c r="J1536" t="s">
        <v>539</v>
      </c>
    </row>
    <row r="1537" spans="1:10">
      <c r="A1537" t="s">
        <v>1883</v>
      </c>
      <c r="B1537" t="b">
        <v>0</v>
      </c>
      <c r="C1537" t="s">
        <v>301</v>
      </c>
      <c r="D1537" t="s">
        <v>322</v>
      </c>
      <c r="E1537" t="s">
        <v>323</v>
      </c>
      <c r="H1537" t="s">
        <v>302</v>
      </c>
      <c r="I1537" t="s">
        <v>300</v>
      </c>
      <c r="J1537" t="s">
        <v>539</v>
      </c>
    </row>
    <row r="1538" spans="1:10">
      <c r="A1538" t="s">
        <v>1884</v>
      </c>
      <c r="B1538" t="b">
        <v>0</v>
      </c>
      <c r="C1538" t="s">
        <v>301</v>
      </c>
      <c r="D1538" t="s">
        <v>322</v>
      </c>
      <c r="E1538" t="s">
        <v>323</v>
      </c>
      <c r="H1538" t="s">
        <v>302</v>
      </c>
      <c r="I1538" t="s">
        <v>300</v>
      </c>
      <c r="J1538" t="s">
        <v>539</v>
      </c>
    </row>
    <row r="1539" spans="1:10">
      <c r="A1539" t="s">
        <v>1885</v>
      </c>
      <c r="B1539" t="b">
        <v>0</v>
      </c>
      <c r="C1539" t="s">
        <v>301</v>
      </c>
      <c r="D1539" t="s">
        <v>322</v>
      </c>
      <c r="E1539" t="s">
        <v>323</v>
      </c>
      <c r="H1539" t="s">
        <v>302</v>
      </c>
      <c r="I1539" t="s">
        <v>300</v>
      </c>
      <c r="J1539" t="s">
        <v>539</v>
      </c>
    </row>
    <row r="1540" spans="1:10">
      <c r="A1540" t="s">
        <v>1886</v>
      </c>
      <c r="B1540" t="b">
        <v>0</v>
      </c>
      <c r="C1540" t="s">
        <v>340</v>
      </c>
      <c r="D1540" t="s">
        <v>340</v>
      </c>
      <c r="E1540" t="s">
        <v>340</v>
      </c>
      <c r="H1540" t="s">
        <v>302</v>
      </c>
      <c r="I1540" t="s">
        <v>300</v>
      </c>
      <c r="J1540" t="s">
        <v>539</v>
      </c>
    </row>
    <row r="1541" spans="1:10">
      <c r="A1541" t="s">
        <v>1887</v>
      </c>
      <c r="B1541" t="b">
        <v>0</v>
      </c>
      <c r="H1541" t="s">
        <v>302</v>
      </c>
      <c r="I1541" t="s">
        <v>300</v>
      </c>
      <c r="J1541" t="s">
        <v>539</v>
      </c>
    </row>
    <row r="1542" spans="1:10">
      <c r="A1542" t="s">
        <v>1888</v>
      </c>
      <c r="B1542" t="b">
        <v>0</v>
      </c>
      <c r="H1542" t="s">
        <v>302</v>
      </c>
      <c r="I1542" t="s">
        <v>300</v>
      </c>
      <c r="J1542" t="s">
        <v>304</v>
      </c>
    </row>
    <row r="1543" spans="1:10">
      <c r="A1543" t="s">
        <v>1889</v>
      </c>
      <c r="B1543" t="b">
        <v>0</v>
      </c>
      <c r="H1543" t="s">
        <v>302</v>
      </c>
      <c r="I1543" t="s">
        <v>300</v>
      </c>
      <c r="J1543" t="s">
        <v>304</v>
      </c>
    </row>
    <row r="1544" spans="1:10">
      <c r="A1544" t="s">
        <v>1890</v>
      </c>
      <c r="B1544" t="b">
        <v>0</v>
      </c>
      <c r="H1544" t="s">
        <v>302</v>
      </c>
      <c r="I1544" t="s">
        <v>300</v>
      </c>
      <c r="J1544" t="s">
        <v>304</v>
      </c>
    </row>
    <row r="1545" spans="1:10">
      <c r="A1545" t="s">
        <v>1891</v>
      </c>
      <c r="B1545" t="b">
        <v>0</v>
      </c>
      <c r="H1545" t="s">
        <v>302</v>
      </c>
      <c r="I1545" t="s">
        <v>300</v>
      </c>
      <c r="J1545" t="s">
        <v>304</v>
      </c>
    </row>
    <row r="1546" spans="1:10">
      <c r="A1546" t="s">
        <v>1892</v>
      </c>
      <c r="B1546" t="b">
        <v>0</v>
      </c>
      <c r="H1546" t="s">
        <v>302</v>
      </c>
      <c r="I1546" t="s">
        <v>300</v>
      </c>
      <c r="J1546" t="s">
        <v>304</v>
      </c>
    </row>
    <row r="1547" spans="1:10">
      <c r="A1547" t="s">
        <v>1893</v>
      </c>
      <c r="B1547" t="b">
        <v>0</v>
      </c>
      <c r="H1547" t="s">
        <v>302</v>
      </c>
      <c r="I1547" t="s">
        <v>300</v>
      </c>
      <c r="J1547" t="s">
        <v>304</v>
      </c>
    </row>
    <row r="1548" spans="1:10">
      <c r="A1548" t="s">
        <v>1894</v>
      </c>
      <c r="B1548" t="b">
        <v>0</v>
      </c>
      <c r="H1548" t="s">
        <v>302</v>
      </c>
      <c r="I1548" t="s">
        <v>300</v>
      </c>
      <c r="J1548" t="s">
        <v>304</v>
      </c>
    </row>
    <row r="1549" spans="1:10">
      <c r="A1549" t="s">
        <v>1895</v>
      </c>
      <c r="B1549" t="b">
        <v>0</v>
      </c>
      <c r="H1549" t="s">
        <v>302</v>
      </c>
      <c r="I1549" t="s">
        <v>300</v>
      </c>
      <c r="J1549" t="s">
        <v>304</v>
      </c>
    </row>
    <row r="1550" spans="1:10">
      <c r="A1550" t="s">
        <v>1896</v>
      </c>
      <c r="B1550" t="b">
        <v>0</v>
      </c>
      <c r="H1550" t="s">
        <v>302</v>
      </c>
      <c r="I1550" t="s">
        <v>300</v>
      </c>
      <c r="J1550" t="s">
        <v>304</v>
      </c>
    </row>
    <row r="1551" spans="1:10">
      <c r="A1551" t="s">
        <v>1897</v>
      </c>
      <c r="B1551" t="b">
        <v>0</v>
      </c>
      <c r="H1551" t="s">
        <v>302</v>
      </c>
      <c r="I1551" t="s">
        <v>300</v>
      </c>
      <c r="J1551" t="s">
        <v>304</v>
      </c>
    </row>
    <row r="1552" spans="1:10">
      <c r="A1552" t="s">
        <v>1898</v>
      </c>
      <c r="B1552" t="b">
        <v>0</v>
      </c>
      <c r="H1552" t="s">
        <v>302</v>
      </c>
      <c r="I1552" t="s">
        <v>300</v>
      </c>
      <c r="J1552" t="s">
        <v>304</v>
      </c>
    </row>
    <row r="1553" spans="1:10">
      <c r="A1553" t="s">
        <v>1899</v>
      </c>
      <c r="B1553" t="b">
        <v>0</v>
      </c>
      <c r="H1553" t="s">
        <v>302</v>
      </c>
      <c r="I1553" t="s">
        <v>300</v>
      </c>
      <c r="J1553" t="s">
        <v>539</v>
      </c>
    </row>
    <row r="1554" spans="1:10">
      <c r="A1554" t="s">
        <v>1900</v>
      </c>
      <c r="B1554" t="b">
        <v>0</v>
      </c>
      <c r="C1554" t="s">
        <v>340</v>
      </c>
      <c r="D1554" t="s">
        <v>340</v>
      </c>
      <c r="E1554" t="s">
        <v>340</v>
      </c>
      <c r="H1554" t="s">
        <v>302</v>
      </c>
      <c r="I1554" t="s">
        <v>300</v>
      </c>
      <c r="J1554" t="s">
        <v>411</v>
      </c>
    </row>
    <row r="1555" spans="1:10">
      <c r="A1555" t="s">
        <v>1901</v>
      </c>
      <c r="B1555" t="b">
        <v>0</v>
      </c>
      <c r="C1555" t="s">
        <v>301</v>
      </c>
      <c r="D1555" t="s">
        <v>301</v>
      </c>
      <c r="E1555" t="s">
        <v>301</v>
      </c>
      <c r="H1555" t="s">
        <v>302</v>
      </c>
      <c r="I1555" t="s">
        <v>300</v>
      </c>
      <c r="J1555" t="s">
        <v>411</v>
      </c>
    </row>
    <row r="1556" spans="1:10">
      <c r="A1556" t="s">
        <v>1902</v>
      </c>
      <c r="B1556" t="b">
        <v>0</v>
      </c>
      <c r="C1556" t="s">
        <v>353</v>
      </c>
      <c r="D1556" t="s">
        <v>354</v>
      </c>
      <c r="E1556" t="s">
        <v>353</v>
      </c>
      <c r="H1556" t="s">
        <v>302</v>
      </c>
      <c r="I1556" t="s">
        <v>300</v>
      </c>
      <c r="J1556" t="s">
        <v>411</v>
      </c>
    </row>
    <row r="1557" spans="1:10">
      <c r="A1557" t="s">
        <v>1903</v>
      </c>
      <c r="B1557" t="b">
        <v>0</v>
      </c>
      <c r="C1557" t="s">
        <v>340</v>
      </c>
      <c r="D1557" t="s">
        <v>340</v>
      </c>
      <c r="E1557" t="s">
        <v>340</v>
      </c>
      <c r="H1557" t="s">
        <v>302</v>
      </c>
      <c r="I1557" t="s">
        <v>300</v>
      </c>
      <c r="J1557" t="s">
        <v>411</v>
      </c>
    </row>
    <row r="1558" spans="1:10">
      <c r="A1558" t="s">
        <v>1904</v>
      </c>
      <c r="B1558" t="b">
        <v>0</v>
      </c>
      <c r="C1558" t="s">
        <v>301</v>
      </c>
      <c r="D1558" t="s">
        <v>301</v>
      </c>
      <c r="E1558" t="s">
        <v>301</v>
      </c>
      <c r="H1558" t="s">
        <v>302</v>
      </c>
      <c r="I1558" t="s">
        <v>300</v>
      </c>
      <c r="J1558" t="s">
        <v>411</v>
      </c>
    </row>
    <row r="1559" spans="1:10">
      <c r="A1559" t="s">
        <v>1905</v>
      </c>
      <c r="B1559" t="b">
        <v>0</v>
      </c>
      <c r="C1559" t="s">
        <v>301</v>
      </c>
      <c r="D1559" t="s">
        <v>301</v>
      </c>
      <c r="E1559" t="s">
        <v>301</v>
      </c>
      <c r="H1559" t="s">
        <v>302</v>
      </c>
      <c r="I1559" t="s">
        <v>300</v>
      </c>
      <c r="J1559" t="s">
        <v>411</v>
      </c>
    </row>
    <row r="1560" spans="1:10">
      <c r="A1560" t="s">
        <v>1906</v>
      </c>
      <c r="B1560" t="b">
        <v>0</v>
      </c>
      <c r="C1560" t="s">
        <v>330</v>
      </c>
      <c r="D1560" t="s">
        <v>322</v>
      </c>
      <c r="E1560" t="s">
        <v>330</v>
      </c>
      <c r="H1560" t="s">
        <v>302</v>
      </c>
      <c r="I1560" t="s">
        <v>300</v>
      </c>
      <c r="J1560" t="s">
        <v>411</v>
      </c>
    </row>
    <row r="1561" spans="1:10">
      <c r="A1561" t="s">
        <v>1907</v>
      </c>
      <c r="B1561" t="b">
        <v>0</v>
      </c>
      <c r="C1561" t="s">
        <v>301</v>
      </c>
      <c r="D1561" t="s">
        <v>301</v>
      </c>
      <c r="E1561" t="s">
        <v>301</v>
      </c>
      <c r="H1561" t="s">
        <v>302</v>
      </c>
      <c r="I1561" t="s">
        <v>300</v>
      </c>
      <c r="J1561" t="s">
        <v>411</v>
      </c>
    </row>
    <row r="1562" spans="1:10">
      <c r="A1562" t="s">
        <v>1908</v>
      </c>
      <c r="B1562" t="b">
        <v>0</v>
      </c>
      <c r="C1562" t="s">
        <v>301</v>
      </c>
      <c r="D1562" t="s">
        <v>301</v>
      </c>
      <c r="E1562" t="s">
        <v>301</v>
      </c>
      <c r="H1562" t="s">
        <v>302</v>
      </c>
      <c r="I1562" t="s">
        <v>300</v>
      </c>
      <c r="J1562" t="s">
        <v>411</v>
      </c>
    </row>
    <row r="1563" spans="1:10">
      <c r="A1563" t="s">
        <v>1909</v>
      </c>
      <c r="B1563" t="b">
        <v>0</v>
      </c>
      <c r="H1563" t="s">
        <v>302</v>
      </c>
      <c r="I1563" t="s">
        <v>303</v>
      </c>
      <c r="J1563" t="s">
        <v>411</v>
      </c>
    </row>
    <row r="1564" spans="1:10">
      <c r="A1564" t="s">
        <v>1910</v>
      </c>
      <c r="B1564" t="b">
        <v>0</v>
      </c>
      <c r="H1564" t="s">
        <v>302</v>
      </c>
      <c r="I1564" t="s">
        <v>303</v>
      </c>
      <c r="J1564" t="s">
        <v>411</v>
      </c>
    </row>
    <row r="1565" spans="1:10">
      <c r="A1565" t="s">
        <v>1911</v>
      </c>
      <c r="B1565" t="b">
        <v>0</v>
      </c>
      <c r="H1565" t="s">
        <v>302</v>
      </c>
      <c r="I1565" t="s">
        <v>303</v>
      </c>
      <c r="J1565" t="s">
        <v>411</v>
      </c>
    </row>
    <row r="1566" spans="1:10">
      <c r="A1566" t="s">
        <v>1912</v>
      </c>
      <c r="B1566" t="b">
        <v>0</v>
      </c>
      <c r="H1566" t="s">
        <v>302</v>
      </c>
      <c r="I1566" t="s">
        <v>303</v>
      </c>
      <c r="J1566" t="s">
        <v>411</v>
      </c>
    </row>
    <row r="1567" spans="1:10">
      <c r="A1567" t="s">
        <v>1913</v>
      </c>
      <c r="B1567" t="b">
        <v>0</v>
      </c>
      <c r="H1567" t="s">
        <v>302</v>
      </c>
      <c r="I1567" t="s">
        <v>303</v>
      </c>
      <c r="J1567" t="s">
        <v>411</v>
      </c>
    </row>
    <row r="1568" spans="1:10">
      <c r="A1568" t="s">
        <v>1914</v>
      </c>
      <c r="B1568" t="b">
        <v>0</v>
      </c>
      <c r="H1568" t="s">
        <v>302</v>
      </c>
      <c r="I1568" t="s">
        <v>303</v>
      </c>
      <c r="J1568" t="s">
        <v>411</v>
      </c>
    </row>
    <row r="1569" spans="1:10">
      <c r="A1569" t="s">
        <v>1915</v>
      </c>
      <c r="B1569" t="b">
        <v>0</v>
      </c>
      <c r="H1569" t="s">
        <v>302</v>
      </c>
      <c r="I1569" t="s">
        <v>303</v>
      </c>
      <c r="J1569" t="s">
        <v>411</v>
      </c>
    </row>
    <row r="1570" spans="1:10">
      <c r="A1570" t="s">
        <v>1916</v>
      </c>
      <c r="B1570" t="b">
        <v>0</v>
      </c>
      <c r="H1570" t="s">
        <v>302</v>
      </c>
      <c r="I1570" t="s">
        <v>303</v>
      </c>
      <c r="J1570" t="s">
        <v>411</v>
      </c>
    </row>
    <row r="1571" spans="1:10">
      <c r="A1571" t="s">
        <v>1917</v>
      </c>
      <c r="B1571" t="b">
        <v>0</v>
      </c>
      <c r="H1571" t="s">
        <v>302</v>
      </c>
      <c r="I1571" t="s">
        <v>303</v>
      </c>
      <c r="J1571" t="s">
        <v>411</v>
      </c>
    </row>
    <row r="1572" spans="1:10">
      <c r="A1572" t="s">
        <v>1918</v>
      </c>
      <c r="B1572" t="b">
        <v>0</v>
      </c>
      <c r="H1572" t="s">
        <v>302</v>
      </c>
      <c r="I1572" t="s">
        <v>303</v>
      </c>
      <c r="J1572" t="s">
        <v>411</v>
      </c>
    </row>
    <row r="1573" spans="1:10">
      <c r="A1573" t="s">
        <v>1919</v>
      </c>
      <c r="B1573" t="b">
        <v>0</v>
      </c>
      <c r="H1573" t="s">
        <v>302</v>
      </c>
      <c r="I1573" t="s">
        <v>303</v>
      </c>
      <c r="J1573" t="s">
        <v>411</v>
      </c>
    </row>
    <row r="1574" spans="1:10">
      <c r="A1574" t="s">
        <v>1920</v>
      </c>
      <c r="B1574" t="b">
        <v>0</v>
      </c>
      <c r="H1574" t="s">
        <v>302</v>
      </c>
      <c r="I1574" t="s">
        <v>303</v>
      </c>
      <c r="J1574" t="s">
        <v>411</v>
      </c>
    </row>
    <row r="1575" spans="1:10">
      <c r="A1575" t="s">
        <v>1921</v>
      </c>
      <c r="B1575" t="b">
        <v>0</v>
      </c>
      <c r="H1575" t="s">
        <v>302</v>
      </c>
      <c r="I1575" t="s">
        <v>303</v>
      </c>
      <c r="J1575" t="s">
        <v>411</v>
      </c>
    </row>
    <row r="1576" spans="1:10">
      <c r="A1576" t="s">
        <v>1922</v>
      </c>
      <c r="B1576" t="b">
        <v>0</v>
      </c>
      <c r="H1576" t="s">
        <v>302</v>
      </c>
      <c r="I1576" t="s">
        <v>303</v>
      </c>
      <c r="J1576" t="s">
        <v>411</v>
      </c>
    </row>
    <row r="1577" spans="1:10">
      <c r="A1577" t="s">
        <v>1923</v>
      </c>
      <c r="B1577" t="b">
        <v>0</v>
      </c>
      <c r="H1577" t="s">
        <v>302</v>
      </c>
      <c r="I1577" t="s">
        <v>303</v>
      </c>
      <c r="J1577" t="s">
        <v>411</v>
      </c>
    </row>
    <row r="1578" spans="1:10">
      <c r="A1578" t="s">
        <v>1924</v>
      </c>
      <c r="B1578" t="b">
        <v>0</v>
      </c>
      <c r="H1578" t="s">
        <v>302</v>
      </c>
      <c r="I1578" t="s">
        <v>303</v>
      </c>
      <c r="J1578" t="s">
        <v>411</v>
      </c>
    </row>
    <row r="1579" spans="1:10">
      <c r="A1579" t="s">
        <v>1925</v>
      </c>
      <c r="B1579" t="b">
        <v>0</v>
      </c>
      <c r="H1579" t="s">
        <v>302</v>
      </c>
      <c r="I1579" t="s">
        <v>303</v>
      </c>
      <c r="J1579" t="s">
        <v>411</v>
      </c>
    </row>
    <row r="1580" spans="1:10">
      <c r="A1580" t="s">
        <v>1926</v>
      </c>
      <c r="B1580" t="b">
        <v>0</v>
      </c>
      <c r="H1580" t="s">
        <v>302</v>
      </c>
      <c r="I1580" t="s">
        <v>303</v>
      </c>
      <c r="J1580" t="s">
        <v>411</v>
      </c>
    </row>
    <row r="1581" spans="1:10">
      <c r="A1581" t="s">
        <v>1927</v>
      </c>
      <c r="B1581" t="b">
        <v>0</v>
      </c>
      <c r="H1581" t="s">
        <v>302</v>
      </c>
      <c r="I1581" t="s">
        <v>303</v>
      </c>
      <c r="J1581" t="s">
        <v>411</v>
      </c>
    </row>
    <row r="1582" spans="1:10">
      <c r="A1582" t="s">
        <v>1928</v>
      </c>
      <c r="B1582" t="b">
        <v>0</v>
      </c>
      <c r="H1582" t="s">
        <v>302</v>
      </c>
      <c r="I1582" t="s">
        <v>303</v>
      </c>
      <c r="J1582" t="s">
        <v>411</v>
      </c>
    </row>
    <row r="1583" spans="1:10">
      <c r="A1583" t="s">
        <v>1929</v>
      </c>
      <c r="B1583" t="b">
        <v>0</v>
      </c>
      <c r="H1583" t="s">
        <v>302</v>
      </c>
      <c r="I1583" t="s">
        <v>303</v>
      </c>
      <c r="J1583" t="s">
        <v>411</v>
      </c>
    </row>
    <row r="1584" spans="1:10">
      <c r="A1584" t="s">
        <v>1930</v>
      </c>
      <c r="B1584" t="b">
        <v>0</v>
      </c>
      <c r="H1584" t="s">
        <v>302</v>
      </c>
      <c r="I1584" t="s">
        <v>303</v>
      </c>
      <c r="J1584" t="s">
        <v>411</v>
      </c>
    </row>
    <row r="1585" spans="1:10">
      <c r="A1585" t="s">
        <v>1931</v>
      </c>
      <c r="B1585" t="b">
        <v>0</v>
      </c>
      <c r="H1585" t="s">
        <v>302</v>
      </c>
      <c r="I1585" t="s">
        <v>303</v>
      </c>
      <c r="J1585" t="s">
        <v>411</v>
      </c>
    </row>
    <row r="1586" spans="1:10">
      <c r="A1586" t="s">
        <v>1932</v>
      </c>
      <c r="B1586" t="b">
        <v>0</v>
      </c>
      <c r="H1586" t="s">
        <v>302</v>
      </c>
      <c r="I1586" t="s">
        <v>303</v>
      </c>
      <c r="J1586" t="s">
        <v>411</v>
      </c>
    </row>
    <row r="1587" spans="1:10">
      <c r="A1587" t="s">
        <v>1933</v>
      </c>
      <c r="B1587" t="b">
        <v>0</v>
      </c>
      <c r="H1587" t="s">
        <v>302</v>
      </c>
      <c r="I1587" t="s">
        <v>303</v>
      </c>
      <c r="J1587" t="s">
        <v>411</v>
      </c>
    </row>
    <row r="1588" spans="1:10">
      <c r="A1588" t="s">
        <v>1934</v>
      </c>
      <c r="B1588" t="b">
        <v>0</v>
      </c>
      <c r="H1588" t="s">
        <v>302</v>
      </c>
      <c r="I1588" t="s">
        <v>303</v>
      </c>
      <c r="J1588" t="s">
        <v>411</v>
      </c>
    </row>
    <row r="1589" spans="1:10">
      <c r="A1589" t="s">
        <v>1935</v>
      </c>
      <c r="B1589" t="b">
        <v>0</v>
      </c>
      <c r="H1589" t="s">
        <v>302</v>
      </c>
      <c r="I1589" t="s">
        <v>303</v>
      </c>
      <c r="J1589" t="s">
        <v>411</v>
      </c>
    </row>
    <row r="1590" spans="1:10">
      <c r="A1590" t="s">
        <v>1936</v>
      </c>
      <c r="B1590" t="b">
        <v>0</v>
      </c>
      <c r="H1590" t="s">
        <v>302</v>
      </c>
      <c r="I1590" t="s">
        <v>303</v>
      </c>
      <c r="J1590" t="s">
        <v>411</v>
      </c>
    </row>
    <row r="1591" spans="1:10">
      <c r="A1591" t="s">
        <v>1937</v>
      </c>
      <c r="B1591" t="b">
        <v>0</v>
      </c>
      <c r="H1591" t="s">
        <v>302</v>
      </c>
      <c r="I1591" t="s">
        <v>303</v>
      </c>
      <c r="J1591" t="s">
        <v>411</v>
      </c>
    </row>
    <row r="1592" spans="1:10">
      <c r="A1592" t="s">
        <v>1938</v>
      </c>
      <c r="B1592" t="b">
        <v>0</v>
      </c>
      <c r="H1592" t="s">
        <v>302</v>
      </c>
      <c r="I1592" t="s">
        <v>303</v>
      </c>
      <c r="J1592" t="s">
        <v>539</v>
      </c>
    </row>
    <row r="1593" spans="1:10">
      <c r="A1593" t="s">
        <v>1939</v>
      </c>
      <c r="B1593" t="b">
        <v>0</v>
      </c>
      <c r="H1593" t="s">
        <v>302</v>
      </c>
      <c r="I1593" t="s">
        <v>303</v>
      </c>
      <c r="J1593" t="s">
        <v>539</v>
      </c>
    </row>
    <row r="1594" spans="1:10">
      <c r="A1594" t="s">
        <v>1940</v>
      </c>
      <c r="B1594" t="b">
        <v>0</v>
      </c>
      <c r="H1594" t="s">
        <v>302</v>
      </c>
      <c r="I1594" t="s">
        <v>303</v>
      </c>
      <c r="J1594" t="s">
        <v>539</v>
      </c>
    </row>
    <row r="1595" spans="1:10">
      <c r="A1595" t="s">
        <v>1941</v>
      </c>
      <c r="B1595" t="b">
        <v>0</v>
      </c>
      <c r="H1595" t="s">
        <v>302</v>
      </c>
      <c r="I1595" t="s">
        <v>303</v>
      </c>
      <c r="J1595" t="s">
        <v>539</v>
      </c>
    </row>
    <row r="1596" spans="1:10">
      <c r="A1596" t="s">
        <v>1942</v>
      </c>
      <c r="B1596" t="b">
        <v>0</v>
      </c>
      <c r="H1596" t="s">
        <v>302</v>
      </c>
      <c r="I1596" t="s">
        <v>303</v>
      </c>
      <c r="J1596" t="s">
        <v>539</v>
      </c>
    </row>
    <row r="1597" spans="1:10">
      <c r="A1597" t="s">
        <v>1943</v>
      </c>
      <c r="B1597" t="b">
        <v>0</v>
      </c>
      <c r="H1597" t="s">
        <v>302</v>
      </c>
      <c r="I1597" t="s">
        <v>303</v>
      </c>
      <c r="J1597" t="s">
        <v>539</v>
      </c>
    </row>
    <row r="1598" spans="1:10">
      <c r="A1598" t="s">
        <v>1944</v>
      </c>
      <c r="B1598" t="b">
        <v>0</v>
      </c>
      <c r="H1598" t="s">
        <v>302</v>
      </c>
      <c r="I1598" t="s">
        <v>303</v>
      </c>
      <c r="J1598" t="s">
        <v>539</v>
      </c>
    </row>
    <row r="1599" spans="1:10">
      <c r="A1599" t="s">
        <v>1945</v>
      </c>
      <c r="B1599" t="b">
        <v>0</v>
      </c>
      <c r="H1599" t="s">
        <v>302</v>
      </c>
      <c r="I1599" t="s">
        <v>303</v>
      </c>
      <c r="J1599" t="s">
        <v>304</v>
      </c>
    </row>
    <row r="1600" spans="1:10">
      <c r="A1600" t="s">
        <v>1946</v>
      </c>
      <c r="B1600" t="b">
        <v>0</v>
      </c>
      <c r="H1600" t="s">
        <v>302</v>
      </c>
      <c r="I1600" t="s">
        <v>303</v>
      </c>
      <c r="J1600" t="s">
        <v>304</v>
      </c>
    </row>
    <row r="1601" spans="1:10">
      <c r="A1601" t="s">
        <v>1947</v>
      </c>
      <c r="B1601" t="b">
        <v>0</v>
      </c>
      <c r="H1601" t="s">
        <v>302</v>
      </c>
      <c r="I1601" t="s">
        <v>303</v>
      </c>
      <c r="J1601" t="s">
        <v>304</v>
      </c>
    </row>
    <row r="1602" spans="1:10">
      <c r="A1602" t="s">
        <v>1948</v>
      </c>
      <c r="B1602" t="b">
        <v>0</v>
      </c>
      <c r="H1602" t="s">
        <v>302</v>
      </c>
      <c r="I1602" t="s">
        <v>303</v>
      </c>
      <c r="J1602" t="s">
        <v>304</v>
      </c>
    </row>
    <row r="1603" spans="1:10">
      <c r="A1603" t="s">
        <v>1949</v>
      </c>
      <c r="B1603" t="b">
        <v>0</v>
      </c>
      <c r="H1603" t="s">
        <v>302</v>
      </c>
      <c r="I1603" t="s">
        <v>303</v>
      </c>
      <c r="J1603" t="s">
        <v>304</v>
      </c>
    </row>
    <row r="1604" spans="1:10">
      <c r="A1604" t="s">
        <v>1950</v>
      </c>
      <c r="B1604" t="b">
        <v>0</v>
      </c>
      <c r="H1604" t="s">
        <v>302</v>
      </c>
      <c r="I1604" t="s">
        <v>303</v>
      </c>
      <c r="J1604" t="s">
        <v>304</v>
      </c>
    </row>
    <row r="1605" spans="1:10">
      <c r="A1605" t="s">
        <v>1951</v>
      </c>
      <c r="B1605" t="b">
        <v>0</v>
      </c>
      <c r="H1605" t="s">
        <v>302</v>
      </c>
      <c r="I1605" t="s">
        <v>303</v>
      </c>
      <c r="J1605" t="s">
        <v>304</v>
      </c>
    </row>
    <row r="1606" spans="1:10">
      <c r="A1606" t="s">
        <v>1952</v>
      </c>
      <c r="B1606" t="b">
        <v>0</v>
      </c>
      <c r="H1606" t="s">
        <v>302</v>
      </c>
      <c r="I1606" t="s">
        <v>303</v>
      </c>
      <c r="J1606" t="s">
        <v>304</v>
      </c>
    </row>
    <row r="1607" spans="1:10">
      <c r="A1607" t="s">
        <v>1953</v>
      </c>
      <c r="B1607" t="b">
        <v>0</v>
      </c>
      <c r="H1607" t="s">
        <v>302</v>
      </c>
      <c r="I1607" t="s">
        <v>303</v>
      </c>
      <c r="J1607" t="s">
        <v>304</v>
      </c>
    </row>
    <row r="1608" spans="1:10">
      <c r="A1608" t="s">
        <v>1954</v>
      </c>
      <c r="B1608" t="b">
        <v>0</v>
      </c>
      <c r="H1608" t="s">
        <v>302</v>
      </c>
      <c r="I1608" t="s">
        <v>303</v>
      </c>
      <c r="J1608" t="s">
        <v>304</v>
      </c>
    </row>
    <row r="1609" spans="1:10">
      <c r="A1609" t="s">
        <v>1955</v>
      </c>
      <c r="B1609" t="b">
        <v>0</v>
      </c>
      <c r="H1609" t="s">
        <v>302</v>
      </c>
      <c r="I1609" t="s">
        <v>303</v>
      </c>
      <c r="J1609" t="s">
        <v>304</v>
      </c>
    </row>
    <row r="1610" spans="1:10">
      <c r="A1610" t="s">
        <v>1956</v>
      </c>
      <c r="B1610" t="b">
        <v>0</v>
      </c>
      <c r="H1610" t="s">
        <v>302</v>
      </c>
      <c r="I1610" t="s">
        <v>303</v>
      </c>
      <c r="J1610" t="s">
        <v>304</v>
      </c>
    </row>
    <row r="1611" spans="1:10">
      <c r="A1611" t="s">
        <v>1957</v>
      </c>
      <c r="B1611" t="b">
        <v>0</v>
      </c>
      <c r="H1611" t="s">
        <v>302</v>
      </c>
      <c r="I1611" t="s">
        <v>303</v>
      </c>
      <c r="J1611" t="s">
        <v>304</v>
      </c>
    </row>
    <row r="1612" spans="1:10">
      <c r="A1612" t="s">
        <v>1958</v>
      </c>
      <c r="B1612" t="b">
        <v>0</v>
      </c>
      <c r="H1612" t="s">
        <v>302</v>
      </c>
      <c r="I1612" t="s">
        <v>303</v>
      </c>
      <c r="J1612" t="s">
        <v>304</v>
      </c>
    </row>
    <row r="1613" spans="1:10">
      <c r="A1613" t="s">
        <v>1959</v>
      </c>
      <c r="B1613" t="b">
        <v>0</v>
      </c>
      <c r="H1613" t="s">
        <v>302</v>
      </c>
      <c r="I1613" t="s">
        <v>303</v>
      </c>
      <c r="J1613" t="s">
        <v>304</v>
      </c>
    </row>
    <row r="1614" spans="1:10">
      <c r="A1614" t="s">
        <v>1960</v>
      </c>
      <c r="B1614" t="b">
        <v>0</v>
      </c>
      <c r="H1614" t="s">
        <v>302</v>
      </c>
      <c r="I1614" t="s">
        <v>303</v>
      </c>
      <c r="J1614" t="s">
        <v>304</v>
      </c>
    </row>
    <row r="1615" spans="1:10">
      <c r="A1615" t="s">
        <v>1961</v>
      </c>
      <c r="B1615" t="b">
        <v>0</v>
      </c>
      <c r="H1615" t="s">
        <v>302</v>
      </c>
      <c r="I1615" t="s">
        <v>303</v>
      </c>
      <c r="J1615" t="s">
        <v>304</v>
      </c>
    </row>
    <row r="1616" spans="1:10">
      <c r="A1616" t="s">
        <v>1962</v>
      </c>
      <c r="B1616" t="b">
        <v>0</v>
      </c>
      <c r="H1616" t="s">
        <v>302</v>
      </c>
      <c r="I1616" t="s">
        <v>303</v>
      </c>
      <c r="J1616" t="s">
        <v>304</v>
      </c>
    </row>
    <row r="1617" spans="1:10">
      <c r="A1617" t="s">
        <v>1963</v>
      </c>
      <c r="B1617" t="b">
        <v>0</v>
      </c>
      <c r="H1617" t="s">
        <v>302</v>
      </c>
      <c r="I1617" t="s">
        <v>303</v>
      </c>
      <c r="J1617" t="s">
        <v>304</v>
      </c>
    </row>
    <row r="1618" spans="1:10">
      <c r="A1618" t="s">
        <v>1964</v>
      </c>
      <c r="B1618" t="b">
        <v>0</v>
      </c>
      <c r="H1618" t="s">
        <v>302</v>
      </c>
      <c r="I1618" t="s">
        <v>303</v>
      </c>
      <c r="J1618" t="s">
        <v>304</v>
      </c>
    </row>
    <row r="1619" spans="1:10">
      <c r="A1619" t="s">
        <v>1965</v>
      </c>
      <c r="B1619" t="b">
        <v>0</v>
      </c>
      <c r="H1619" t="s">
        <v>302</v>
      </c>
      <c r="I1619" t="s">
        <v>303</v>
      </c>
      <c r="J1619" t="s">
        <v>304</v>
      </c>
    </row>
    <row r="1620" spans="1:10">
      <c r="A1620" t="s">
        <v>1966</v>
      </c>
      <c r="B1620" t="b">
        <v>0</v>
      </c>
      <c r="H1620" t="s">
        <v>302</v>
      </c>
      <c r="I1620" t="s">
        <v>303</v>
      </c>
      <c r="J1620" t="s">
        <v>518</v>
      </c>
    </row>
    <row r="1621" spans="1:10">
      <c r="A1621" t="s">
        <v>860</v>
      </c>
      <c r="B1621" t="b">
        <v>0</v>
      </c>
      <c r="H1621" t="s">
        <v>302</v>
      </c>
      <c r="I1621" t="s">
        <v>303</v>
      </c>
      <c r="J1621" t="s">
        <v>518</v>
      </c>
    </row>
    <row r="1622" spans="1:10">
      <c r="A1622" t="s">
        <v>861</v>
      </c>
      <c r="B1622" t="b">
        <v>0</v>
      </c>
      <c r="H1622" t="s">
        <v>302</v>
      </c>
      <c r="I1622" t="s">
        <v>303</v>
      </c>
      <c r="J1622" t="s">
        <v>518</v>
      </c>
    </row>
    <row r="1623" spans="1:10">
      <c r="A1623" t="s">
        <v>862</v>
      </c>
      <c r="B1623" t="b">
        <v>0</v>
      </c>
      <c r="H1623" t="s">
        <v>302</v>
      </c>
      <c r="I1623" t="s">
        <v>303</v>
      </c>
      <c r="J1623" t="s">
        <v>518</v>
      </c>
    </row>
    <row r="1624" spans="1:10">
      <c r="A1624" t="s">
        <v>863</v>
      </c>
      <c r="B1624" t="b">
        <v>0</v>
      </c>
      <c r="H1624" t="s">
        <v>302</v>
      </c>
      <c r="I1624" t="s">
        <v>303</v>
      </c>
      <c r="J1624" t="s">
        <v>518</v>
      </c>
    </row>
    <row r="1625" spans="1:10">
      <c r="A1625" t="s">
        <v>865</v>
      </c>
      <c r="B1625" t="b">
        <v>0</v>
      </c>
      <c r="H1625" t="s">
        <v>302</v>
      </c>
      <c r="I1625" t="s">
        <v>303</v>
      </c>
      <c r="J1625" t="s">
        <v>518</v>
      </c>
    </row>
    <row r="1626" spans="1:10">
      <c r="A1626" t="s">
        <v>866</v>
      </c>
      <c r="B1626" t="b">
        <v>0</v>
      </c>
      <c r="H1626" t="s">
        <v>302</v>
      </c>
      <c r="I1626" t="s">
        <v>303</v>
      </c>
      <c r="J1626" t="s">
        <v>518</v>
      </c>
    </row>
    <row r="1627" spans="1:10">
      <c r="A1627" t="s">
        <v>867</v>
      </c>
      <c r="B1627" t="b">
        <v>0</v>
      </c>
      <c r="H1627" t="s">
        <v>302</v>
      </c>
      <c r="I1627" t="s">
        <v>303</v>
      </c>
      <c r="J1627" t="s">
        <v>518</v>
      </c>
    </row>
    <row r="1628" spans="1:10">
      <c r="A1628" t="s">
        <v>868</v>
      </c>
      <c r="B1628" t="b">
        <v>0</v>
      </c>
      <c r="H1628" t="s">
        <v>302</v>
      </c>
      <c r="I1628" t="s">
        <v>303</v>
      </c>
      <c r="J1628" t="s">
        <v>518</v>
      </c>
    </row>
    <row r="1629" spans="1:10">
      <c r="A1629" t="s">
        <v>869</v>
      </c>
      <c r="B1629" t="b">
        <v>0</v>
      </c>
      <c r="C1629" t="s">
        <v>353</v>
      </c>
      <c r="D1629" t="s">
        <v>354</v>
      </c>
      <c r="E1629" t="s">
        <v>353</v>
      </c>
      <c r="H1629" t="s">
        <v>302</v>
      </c>
      <c r="I1629" t="s">
        <v>303</v>
      </c>
      <c r="J1629" t="s">
        <v>518</v>
      </c>
    </row>
    <row r="1630" spans="1:10">
      <c r="A1630" t="s">
        <v>1967</v>
      </c>
      <c r="B1630" t="b">
        <v>0</v>
      </c>
      <c r="H1630" t="s">
        <v>302</v>
      </c>
      <c r="I1630" t="s">
        <v>303</v>
      </c>
      <c r="J1630" t="s">
        <v>518</v>
      </c>
    </row>
    <row r="1631" spans="1:10">
      <c r="A1631" t="s">
        <v>1968</v>
      </c>
      <c r="B1631" t="b">
        <v>0</v>
      </c>
      <c r="H1631" t="s">
        <v>302</v>
      </c>
      <c r="I1631" t="s">
        <v>303</v>
      </c>
      <c r="J1631" t="s">
        <v>518</v>
      </c>
    </row>
    <row r="1632" spans="1:10">
      <c r="A1632" t="s">
        <v>1969</v>
      </c>
      <c r="B1632" t="b">
        <v>0</v>
      </c>
      <c r="H1632" t="s">
        <v>302</v>
      </c>
      <c r="I1632" t="s">
        <v>303</v>
      </c>
      <c r="J1632" t="s">
        <v>518</v>
      </c>
    </row>
    <row r="1633" spans="1:10">
      <c r="A1633" t="s">
        <v>1970</v>
      </c>
      <c r="B1633" t="b">
        <v>0</v>
      </c>
      <c r="H1633" t="s">
        <v>302</v>
      </c>
      <c r="I1633" t="s">
        <v>303</v>
      </c>
      <c r="J1633" t="s">
        <v>518</v>
      </c>
    </row>
    <row r="1634" spans="1:10">
      <c r="A1634" t="s">
        <v>1971</v>
      </c>
      <c r="B1634" t="b">
        <v>0</v>
      </c>
      <c r="H1634" t="s">
        <v>302</v>
      </c>
      <c r="I1634" t="s">
        <v>303</v>
      </c>
      <c r="J1634" t="s">
        <v>518</v>
      </c>
    </row>
    <row r="1635" spans="1:10">
      <c r="A1635" t="s">
        <v>1972</v>
      </c>
      <c r="B1635" t="b">
        <v>0</v>
      </c>
      <c r="H1635" t="s">
        <v>302</v>
      </c>
      <c r="I1635" t="s">
        <v>303</v>
      </c>
      <c r="J1635" t="s">
        <v>518</v>
      </c>
    </row>
    <row r="1636" spans="1:10">
      <c r="A1636" t="s">
        <v>1973</v>
      </c>
      <c r="B1636" t="b">
        <v>0</v>
      </c>
      <c r="H1636" t="s">
        <v>302</v>
      </c>
      <c r="I1636" t="s">
        <v>303</v>
      </c>
      <c r="J1636" t="s">
        <v>518</v>
      </c>
    </row>
    <row r="1637" spans="1:10">
      <c r="A1637" t="s">
        <v>1974</v>
      </c>
      <c r="B1637" t="b">
        <v>0</v>
      </c>
      <c r="H1637" t="s">
        <v>302</v>
      </c>
      <c r="I1637" t="s">
        <v>303</v>
      </c>
      <c r="J1637" t="s">
        <v>518</v>
      </c>
    </row>
    <row r="1638" spans="1:10">
      <c r="A1638" t="s">
        <v>1975</v>
      </c>
      <c r="B1638" t="b">
        <v>0</v>
      </c>
      <c r="H1638" t="s">
        <v>302</v>
      </c>
      <c r="I1638" t="s">
        <v>303</v>
      </c>
      <c r="J1638" t="s">
        <v>518</v>
      </c>
    </row>
    <row r="1639" spans="1:10">
      <c r="A1639" t="s">
        <v>1976</v>
      </c>
      <c r="B1639" t="b">
        <v>0</v>
      </c>
      <c r="H1639" t="s">
        <v>302</v>
      </c>
      <c r="I1639" t="s">
        <v>303</v>
      </c>
      <c r="J1639" t="s">
        <v>518</v>
      </c>
    </row>
    <row r="1640" spans="1:10">
      <c r="A1640" t="s">
        <v>1977</v>
      </c>
      <c r="B1640" t="b">
        <v>0</v>
      </c>
      <c r="H1640" t="s">
        <v>302</v>
      </c>
      <c r="I1640" t="s">
        <v>303</v>
      </c>
      <c r="J1640" t="s">
        <v>518</v>
      </c>
    </row>
    <row r="1641" spans="1:10">
      <c r="A1641" t="s">
        <v>1978</v>
      </c>
      <c r="B1641" t="b">
        <v>0</v>
      </c>
      <c r="H1641" t="s">
        <v>302</v>
      </c>
      <c r="I1641" t="s">
        <v>303</v>
      </c>
      <c r="J1641" t="s">
        <v>518</v>
      </c>
    </row>
    <row r="1642" spans="1:10">
      <c r="A1642" t="s">
        <v>1979</v>
      </c>
      <c r="B1642" t="b">
        <v>0</v>
      </c>
      <c r="H1642" t="s">
        <v>302</v>
      </c>
      <c r="I1642" t="s">
        <v>303</v>
      </c>
      <c r="J1642" t="s">
        <v>518</v>
      </c>
    </row>
    <row r="1643" spans="1:10">
      <c r="A1643" t="s">
        <v>1980</v>
      </c>
      <c r="B1643" t="b">
        <v>0</v>
      </c>
      <c r="H1643" t="s">
        <v>302</v>
      </c>
      <c r="I1643" t="s">
        <v>303</v>
      </c>
      <c r="J1643" t="s">
        <v>518</v>
      </c>
    </row>
    <row r="1644" spans="1:10">
      <c r="A1644" t="s">
        <v>1981</v>
      </c>
      <c r="B1644" t="b">
        <v>0</v>
      </c>
      <c r="H1644" t="s">
        <v>302</v>
      </c>
      <c r="I1644" t="s">
        <v>303</v>
      </c>
      <c r="J1644" t="s">
        <v>518</v>
      </c>
    </row>
    <row r="1645" spans="1:10">
      <c r="A1645" t="s">
        <v>1982</v>
      </c>
      <c r="B1645" t="b">
        <v>0</v>
      </c>
      <c r="H1645" t="s">
        <v>302</v>
      </c>
      <c r="I1645" t="s">
        <v>303</v>
      </c>
      <c r="J1645" t="s">
        <v>518</v>
      </c>
    </row>
    <row r="1646" spans="1:10">
      <c r="A1646" t="s">
        <v>1983</v>
      </c>
      <c r="B1646" t="b">
        <v>0</v>
      </c>
      <c r="H1646" t="s">
        <v>302</v>
      </c>
      <c r="I1646" t="s">
        <v>303</v>
      </c>
      <c r="J1646" t="s">
        <v>518</v>
      </c>
    </row>
    <row r="1647" spans="1:10">
      <c r="A1647" t="s">
        <v>1984</v>
      </c>
      <c r="B1647" t="b">
        <v>0</v>
      </c>
      <c r="H1647" t="s">
        <v>302</v>
      </c>
      <c r="I1647" t="s">
        <v>303</v>
      </c>
      <c r="J1647" t="s">
        <v>518</v>
      </c>
    </row>
    <row r="1648" spans="1:10">
      <c r="A1648" t="s">
        <v>1985</v>
      </c>
      <c r="B1648" t="b">
        <v>0</v>
      </c>
      <c r="H1648" t="s">
        <v>302</v>
      </c>
      <c r="I1648" t="s">
        <v>303</v>
      </c>
      <c r="J1648" t="s">
        <v>518</v>
      </c>
    </row>
    <row r="1649" spans="1:10">
      <c r="A1649" t="s">
        <v>1986</v>
      </c>
      <c r="B1649" t="b">
        <v>0</v>
      </c>
      <c r="H1649" t="s">
        <v>302</v>
      </c>
      <c r="I1649" t="s">
        <v>303</v>
      </c>
      <c r="J1649" t="s">
        <v>518</v>
      </c>
    </row>
    <row r="1650" spans="1:10">
      <c r="A1650" t="s">
        <v>1987</v>
      </c>
      <c r="B1650" t="b">
        <v>0</v>
      </c>
      <c r="H1650" t="s">
        <v>302</v>
      </c>
      <c r="I1650" t="s">
        <v>303</v>
      </c>
      <c r="J1650" t="s">
        <v>518</v>
      </c>
    </row>
    <row r="1651" spans="1:10">
      <c r="A1651" t="s">
        <v>1988</v>
      </c>
      <c r="B1651" t="b">
        <v>0</v>
      </c>
      <c r="H1651" t="s">
        <v>302</v>
      </c>
      <c r="I1651" t="s">
        <v>303</v>
      </c>
      <c r="J1651" t="s">
        <v>518</v>
      </c>
    </row>
    <row r="1652" spans="1:10">
      <c r="A1652" t="s">
        <v>1989</v>
      </c>
      <c r="B1652" t="b">
        <v>0</v>
      </c>
      <c r="H1652" t="s">
        <v>302</v>
      </c>
      <c r="I1652" t="s">
        <v>303</v>
      </c>
      <c r="J1652" t="s">
        <v>518</v>
      </c>
    </row>
    <row r="1653" spans="1:10">
      <c r="A1653" t="s">
        <v>1990</v>
      </c>
      <c r="B1653" t="b">
        <v>0</v>
      </c>
      <c r="C1653" t="s">
        <v>340</v>
      </c>
      <c r="D1653" t="s">
        <v>340</v>
      </c>
      <c r="E1653" t="s">
        <v>340</v>
      </c>
      <c r="H1653" t="s">
        <v>302</v>
      </c>
      <c r="I1653" t="s">
        <v>303</v>
      </c>
      <c r="J1653" t="s">
        <v>518</v>
      </c>
    </row>
    <row r="1654" spans="1:10">
      <c r="A1654" t="s">
        <v>1991</v>
      </c>
      <c r="B1654" t="b">
        <v>0</v>
      </c>
      <c r="C1654" t="s">
        <v>340</v>
      </c>
      <c r="D1654" t="s">
        <v>340</v>
      </c>
      <c r="E1654" t="s">
        <v>340</v>
      </c>
      <c r="H1654" t="s">
        <v>302</v>
      </c>
      <c r="I1654" t="s">
        <v>303</v>
      </c>
      <c r="J1654" t="s">
        <v>518</v>
      </c>
    </row>
    <row r="1655" spans="1:10">
      <c r="A1655" t="s">
        <v>1992</v>
      </c>
      <c r="B1655" t="b">
        <v>0</v>
      </c>
      <c r="C1655" t="s">
        <v>340</v>
      </c>
      <c r="D1655" t="s">
        <v>340</v>
      </c>
      <c r="E1655" t="s">
        <v>340</v>
      </c>
      <c r="H1655" t="s">
        <v>302</v>
      </c>
      <c r="I1655" t="s">
        <v>303</v>
      </c>
      <c r="J1655" t="s">
        <v>518</v>
      </c>
    </row>
    <row r="1656" spans="1:10">
      <c r="A1656" t="s">
        <v>1993</v>
      </c>
      <c r="B1656" t="b">
        <v>0</v>
      </c>
      <c r="C1656" t="s">
        <v>340</v>
      </c>
      <c r="D1656" t="s">
        <v>340</v>
      </c>
      <c r="E1656" t="s">
        <v>340</v>
      </c>
      <c r="H1656" t="s">
        <v>302</v>
      </c>
      <c r="I1656" t="s">
        <v>303</v>
      </c>
      <c r="J1656" t="s">
        <v>518</v>
      </c>
    </row>
    <row r="1657" spans="1:10">
      <c r="A1657" t="s">
        <v>1994</v>
      </c>
      <c r="B1657" t="b">
        <v>0</v>
      </c>
      <c r="C1657" t="s">
        <v>301</v>
      </c>
      <c r="D1657" t="s">
        <v>301</v>
      </c>
      <c r="E1657" t="s">
        <v>301</v>
      </c>
      <c r="H1657" t="s">
        <v>302</v>
      </c>
      <c r="I1657" t="s">
        <v>303</v>
      </c>
      <c r="J1657" t="s">
        <v>518</v>
      </c>
    </row>
    <row r="1658" spans="1:10">
      <c r="A1658" t="s">
        <v>1995</v>
      </c>
      <c r="B1658" t="b">
        <v>0</v>
      </c>
      <c r="C1658" t="s">
        <v>330</v>
      </c>
      <c r="D1658" t="s">
        <v>330</v>
      </c>
      <c r="E1658" t="s">
        <v>330</v>
      </c>
      <c r="H1658" t="s">
        <v>302</v>
      </c>
      <c r="I1658" t="s">
        <v>303</v>
      </c>
      <c r="J1658" t="s">
        <v>518</v>
      </c>
    </row>
    <row r="1659" spans="1:10">
      <c r="A1659" t="s">
        <v>1996</v>
      </c>
      <c r="B1659" t="b">
        <v>0</v>
      </c>
      <c r="C1659" t="s">
        <v>301</v>
      </c>
      <c r="D1659" t="s">
        <v>301</v>
      </c>
      <c r="E1659" t="s">
        <v>301</v>
      </c>
      <c r="H1659" t="s">
        <v>302</v>
      </c>
      <c r="I1659" t="s">
        <v>303</v>
      </c>
      <c r="J1659" t="s">
        <v>518</v>
      </c>
    </row>
    <row r="1660" spans="1:10">
      <c r="A1660" t="s">
        <v>1997</v>
      </c>
      <c r="B1660" t="b">
        <v>0</v>
      </c>
      <c r="H1660" t="s">
        <v>302</v>
      </c>
      <c r="I1660" t="s">
        <v>303</v>
      </c>
      <c r="J1660" t="s">
        <v>518</v>
      </c>
    </row>
    <row r="1661" spans="1:10">
      <c r="A1661" t="s">
        <v>1998</v>
      </c>
      <c r="B1661" t="b">
        <v>0</v>
      </c>
      <c r="C1661" t="s">
        <v>301</v>
      </c>
      <c r="D1661" t="s">
        <v>301</v>
      </c>
      <c r="E1661" t="s">
        <v>301</v>
      </c>
      <c r="H1661" t="s">
        <v>302</v>
      </c>
      <c r="I1661" t="s">
        <v>303</v>
      </c>
      <c r="J1661" t="s">
        <v>518</v>
      </c>
    </row>
    <row r="1662" spans="1:10">
      <c r="A1662" t="s">
        <v>1999</v>
      </c>
      <c r="B1662" t="b">
        <v>0</v>
      </c>
      <c r="C1662" t="s">
        <v>301</v>
      </c>
      <c r="D1662" t="s">
        <v>301</v>
      </c>
      <c r="E1662" t="s">
        <v>301</v>
      </c>
      <c r="H1662" t="s">
        <v>302</v>
      </c>
      <c r="I1662" t="s">
        <v>303</v>
      </c>
      <c r="J1662" t="s">
        <v>518</v>
      </c>
    </row>
    <row r="1663" spans="1:10">
      <c r="A1663" t="s">
        <v>2000</v>
      </c>
      <c r="B1663" t="b">
        <v>0</v>
      </c>
      <c r="C1663" t="s">
        <v>353</v>
      </c>
      <c r="D1663" t="s">
        <v>354</v>
      </c>
      <c r="E1663" t="s">
        <v>353</v>
      </c>
      <c r="H1663" t="s">
        <v>302</v>
      </c>
      <c r="I1663" t="s">
        <v>303</v>
      </c>
      <c r="J1663" t="s">
        <v>518</v>
      </c>
    </row>
    <row r="1664" spans="1:10">
      <c r="A1664" t="s">
        <v>2001</v>
      </c>
      <c r="B1664" t="b">
        <v>0</v>
      </c>
      <c r="C1664" t="s">
        <v>301</v>
      </c>
      <c r="D1664" t="s">
        <v>301</v>
      </c>
      <c r="E1664" t="s">
        <v>301</v>
      </c>
      <c r="H1664" t="s">
        <v>302</v>
      </c>
      <c r="I1664" t="s">
        <v>303</v>
      </c>
      <c r="J1664" t="s">
        <v>518</v>
      </c>
    </row>
    <row r="1665" spans="1:11">
      <c r="A1665" t="s">
        <v>2002</v>
      </c>
      <c r="B1665" t="b">
        <v>0</v>
      </c>
      <c r="H1665" t="s">
        <v>302</v>
      </c>
      <c r="I1665" t="s">
        <v>303</v>
      </c>
      <c r="J1665" t="s">
        <v>518</v>
      </c>
    </row>
    <row r="1666" spans="1:11">
      <c r="A1666" t="s">
        <v>2003</v>
      </c>
      <c r="B1666" t="b">
        <v>0</v>
      </c>
      <c r="H1666" t="s">
        <v>302</v>
      </c>
      <c r="I1666" t="s">
        <v>303</v>
      </c>
      <c r="J1666" t="s">
        <v>518</v>
      </c>
    </row>
    <row r="1667" spans="1:11">
      <c r="A1667" t="s">
        <v>2004</v>
      </c>
      <c r="B1667" t="b">
        <v>0</v>
      </c>
      <c r="H1667" t="s">
        <v>302</v>
      </c>
      <c r="I1667" t="s">
        <v>303</v>
      </c>
      <c r="J1667" t="s">
        <v>518</v>
      </c>
    </row>
    <row r="1668" spans="1:11">
      <c r="A1668" t="s">
        <v>2005</v>
      </c>
      <c r="B1668" t="b">
        <v>0</v>
      </c>
      <c r="H1668" t="s">
        <v>302</v>
      </c>
      <c r="I1668" t="s">
        <v>303</v>
      </c>
      <c r="J1668" t="s">
        <v>518</v>
      </c>
    </row>
    <row r="1669" spans="1:11">
      <c r="A1669" t="s">
        <v>2006</v>
      </c>
      <c r="B1669" t="b">
        <v>0</v>
      </c>
      <c r="H1669" t="s">
        <v>302</v>
      </c>
      <c r="I1669" t="s">
        <v>303</v>
      </c>
      <c r="J1669" t="s">
        <v>518</v>
      </c>
    </row>
    <row r="1670" spans="1:11">
      <c r="A1670" t="s">
        <v>2007</v>
      </c>
      <c r="B1670" t="b">
        <v>0</v>
      </c>
      <c r="H1670" t="s">
        <v>302</v>
      </c>
      <c r="I1670" t="s">
        <v>303</v>
      </c>
      <c r="J1670" t="s">
        <v>518</v>
      </c>
    </row>
    <row r="1671" spans="1:11">
      <c r="A1671" t="s">
        <v>2008</v>
      </c>
      <c r="B1671" t="b">
        <v>0</v>
      </c>
      <c r="H1671" t="s">
        <v>302</v>
      </c>
      <c r="I1671" t="s">
        <v>303</v>
      </c>
      <c r="J1671" t="s">
        <v>518</v>
      </c>
    </row>
    <row r="1672" spans="1:11">
      <c r="A1672" t="s">
        <v>2009</v>
      </c>
      <c r="B1672" t="b">
        <v>0</v>
      </c>
      <c r="H1672" t="s">
        <v>302</v>
      </c>
      <c r="I1672" t="s">
        <v>303</v>
      </c>
      <c r="J1672" t="s">
        <v>610</v>
      </c>
    </row>
    <row r="1673" spans="1:11">
      <c r="A1673" t="s">
        <v>2010</v>
      </c>
      <c r="B1673" t="b">
        <v>0</v>
      </c>
      <c r="H1673" t="s">
        <v>302</v>
      </c>
      <c r="I1673" t="s">
        <v>303</v>
      </c>
      <c r="J1673" t="s">
        <v>610</v>
      </c>
    </row>
    <row r="1674" spans="1:11">
      <c r="A1674" t="s">
        <v>2011</v>
      </c>
      <c r="B1674" t="b">
        <v>0</v>
      </c>
      <c r="H1674" t="s">
        <v>302</v>
      </c>
      <c r="I1674" t="s">
        <v>303</v>
      </c>
      <c r="J1674" t="s">
        <v>610</v>
      </c>
    </row>
    <row r="1675" spans="1:11">
      <c r="A1675" t="s">
        <v>2012</v>
      </c>
      <c r="B1675" t="b">
        <v>0</v>
      </c>
      <c r="H1675" t="s">
        <v>302</v>
      </c>
      <c r="I1675" t="s">
        <v>303</v>
      </c>
      <c r="J1675" t="s">
        <v>610</v>
      </c>
    </row>
    <row r="1676" spans="1:11">
      <c r="A1676" t="s">
        <v>2013</v>
      </c>
      <c r="B1676" t="b">
        <v>0</v>
      </c>
      <c r="H1676" t="s">
        <v>302</v>
      </c>
      <c r="I1676" t="s">
        <v>303</v>
      </c>
      <c r="J1676" t="s">
        <v>610</v>
      </c>
    </row>
    <row r="1677" spans="1:11">
      <c r="A1677" t="s">
        <v>2014</v>
      </c>
      <c r="B1677" t="b">
        <v>0</v>
      </c>
      <c r="H1677" t="s">
        <v>302</v>
      </c>
      <c r="I1677" t="s">
        <v>303</v>
      </c>
      <c r="J1677" t="s">
        <v>610</v>
      </c>
    </row>
    <row r="1678" spans="1:11">
      <c r="A1678" t="s">
        <v>2015</v>
      </c>
      <c r="B1678" t="b">
        <v>0</v>
      </c>
      <c r="H1678" t="s">
        <v>302</v>
      </c>
      <c r="I1678" t="s">
        <v>303</v>
      </c>
      <c r="J1678" t="s">
        <v>610</v>
      </c>
    </row>
    <row r="1679" spans="1:11">
      <c r="A1679" t="s">
        <v>2016</v>
      </c>
      <c r="B1679" t="b">
        <v>1</v>
      </c>
      <c r="C1679" t="s">
        <v>376</v>
      </c>
      <c r="D1679" t="s">
        <v>322</v>
      </c>
      <c r="E1679" t="s">
        <v>376</v>
      </c>
      <c r="H1679" t="s">
        <v>301</v>
      </c>
      <c r="I1679" t="s">
        <v>303</v>
      </c>
      <c r="J1679" t="s">
        <v>1020</v>
      </c>
      <c r="K1679">
        <v>3000</v>
      </c>
    </row>
    <row r="1680" spans="1:11">
      <c r="A1680" t="s">
        <v>2017</v>
      </c>
      <c r="B1680" t="b">
        <v>1</v>
      </c>
      <c r="C1680" t="s">
        <v>353</v>
      </c>
      <c r="D1680" t="s">
        <v>354</v>
      </c>
      <c r="E1680" t="s">
        <v>353</v>
      </c>
      <c r="H1680" t="s">
        <v>301</v>
      </c>
      <c r="I1680" t="s">
        <v>303</v>
      </c>
      <c r="J1680" t="s">
        <v>1020</v>
      </c>
      <c r="K1680">
        <v>3000</v>
      </c>
    </row>
    <row r="1681" spans="1:11">
      <c r="A1681" t="s">
        <v>2018</v>
      </c>
      <c r="B1681" t="b">
        <v>1</v>
      </c>
      <c r="C1681" t="s">
        <v>340</v>
      </c>
      <c r="D1681" t="s">
        <v>340</v>
      </c>
      <c r="E1681" t="s">
        <v>340</v>
      </c>
      <c r="H1681" t="s">
        <v>340</v>
      </c>
      <c r="I1681" t="s">
        <v>303</v>
      </c>
      <c r="J1681" t="s">
        <v>1020</v>
      </c>
      <c r="K1681">
        <v>3000</v>
      </c>
    </row>
    <row r="1682" spans="1:11">
      <c r="A1682" t="s">
        <v>2019</v>
      </c>
      <c r="B1682" t="b">
        <v>1</v>
      </c>
      <c r="C1682" t="s">
        <v>340</v>
      </c>
      <c r="D1682" t="s">
        <v>340</v>
      </c>
      <c r="E1682" t="s">
        <v>340</v>
      </c>
      <c r="H1682" t="s">
        <v>340</v>
      </c>
      <c r="I1682" t="s">
        <v>303</v>
      </c>
      <c r="J1682" t="s">
        <v>1020</v>
      </c>
      <c r="K1682">
        <v>3000</v>
      </c>
    </row>
    <row r="1683" spans="1:11">
      <c r="A1683" t="s">
        <v>2020</v>
      </c>
      <c r="B1683" t="b">
        <v>1</v>
      </c>
      <c r="C1683" t="s">
        <v>340</v>
      </c>
      <c r="D1683" t="s">
        <v>340</v>
      </c>
      <c r="E1683" t="s">
        <v>340</v>
      </c>
      <c r="H1683" t="s">
        <v>340</v>
      </c>
      <c r="I1683" t="s">
        <v>303</v>
      </c>
      <c r="J1683" t="s">
        <v>1020</v>
      </c>
      <c r="K1683">
        <v>3000</v>
      </c>
    </row>
    <row r="1684" spans="1:11">
      <c r="A1684" t="s">
        <v>2021</v>
      </c>
      <c r="B1684" t="b">
        <v>1</v>
      </c>
      <c r="C1684" t="s">
        <v>340</v>
      </c>
      <c r="D1684" t="s">
        <v>340</v>
      </c>
      <c r="E1684" t="s">
        <v>340</v>
      </c>
      <c r="H1684" t="s">
        <v>340</v>
      </c>
      <c r="I1684" t="s">
        <v>303</v>
      </c>
      <c r="J1684" t="s">
        <v>1020</v>
      </c>
      <c r="K1684">
        <v>3000</v>
      </c>
    </row>
    <row r="1685" spans="1:11">
      <c r="A1685" t="s">
        <v>2022</v>
      </c>
      <c r="B1685" t="b">
        <v>1</v>
      </c>
      <c r="C1685" t="s">
        <v>301</v>
      </c>
      <c r="D1685" t="s">
        <v>301</v>
      </c>
      <c r="E1685" t="s">
        <v>301</v>
      </c>
      <c r="H1685" t="s">
        <v>301</v>
      </c>
      <c r="I1685" t="s">
        <v>303</v>
      </c>
      <c r="J1685" t="s">
        <v>1020</v>
      </c>
      <c r="K1685">
        <v>3000</v>
      </c>
    </row>
    <row r="1686" spans="1:11">
      <c r="A1686" t="s">
        <v>2023</v>
      </c>
      <c r="B1686" t="b">
        <v>1</v>
      </c>
      <c r="C1686" t="s">
        <v>376</v>
      </c>
      <c r="D1686" t="s">
        <v>322</v>
      </c>
      <c r="E1686" t="s">
        <v>376</v>
      </c>
      <c r="H1686" t="s">
        <v>301</v>
      </c>
      <c r="I1686" t="s">
        <v>303</v>
      </c>
      <c r="J1686" t="s">
        <v>1020</v>
      </c>
      <c r="K1686">
        <v>3000</v>
      </c>
    </row>
    <row r="1687" spans="1:11">
      <c r="A1687" t="s">
        <v>2024</v>
      </c>
      <c r="B1687" t="b">
        <v>1</v>
      </c>
      <c r="C1687" t="s">
        <v>301</v>
      </c>
      <c r="D1687" t="s">
        <v>301</v>
      </c>
      <c r="E1687" t="s">
        <v>301</v>
      </c>
      <c r="H1687" t="s">
        <v>301</v>
      </c>
      <c r="I1687" t="s">
        <v>303</v>
      </c>
      <c r="J1687" t="s">
        <v>1020</v>
      </c>
      <c r="K1687">
        <v>3000</v>
      </c>
    </row>
    <row r="1688" spans="1:11">
      <c r="A1688" t="s">
        <v>2025</v>
      </c>
      <c r="B1688" t="b">
        <v>1</v>
      </c>
      <c r="C1688" t="s">
        <v>301</v>
      </c>
      <c r="D1688" t="s">
        <v>301</v>
      </c>
      <c r="E1688" t="s">
        <v>301</v>
      </c>
      <c r="H1688" t="s">
        <v>301</v>
      </c>
      <c r="I1688" t="s">
        <v>303</v>
      </c>
      <c r="J1688" t="s">
        <v>1020</v>
      </c>
      <c r="K1688">
        <v>3000</v>
      </c>
    </row>
    <row r="1689" spans="1:11">
      <c r="A1689" t="s">
        <v>2026</v>
      </c>
      <c r="B1689" t="b">
        <v>1</v>
      </c>
      <c r="C1689" t="s">
        <v>376</v>
      </c>
      <c r="D1689" t="s">
        <v>322</v>
      </c>
      <c r="E1689" t="s">
        <v>376</v>
      </c>
      <c r="H1689" t="s">
        <v>301</v>
      </c>
      <c r="I1689" t="s">
        <v>303</v>
      </c>
      <c r="J1689" t="s">
        <v>1020</v>
      </c>
      <c r="K1689">
        <v>3000</v>
      </c>
    </row>
    <row r="1690" spans="1:11">
      <c r="A1690" t="s">
        <v>2027</v>
      </c>
      <c r="B1690" t="b">
        <v>0</v>
      </c>
      <c r="H1690" t="s">
        <v>302</v>
      </c>
      <c r="I1690" t="s">
        <v>303</v>
      </c>
      <c r="J1690" t="s">
        <v>1020</v>
      </c>
      <c r="K1690">
        <v>3000</v>
      </c>
    </row>
    <row r="1691" spans="1:11">
      <c r="A1691" t="s">
        <v>2028</v>
      </c>
      <c r="B1691" t="b">
        <v>0</v>
      </c>
      <c r="C1691" t="s">
        <v>340</v>
      </c>
      <c r="D1691" t="s">
        <v>340</v>
      </c>
      <c r="E1691" t="s">
        <v>340</v>
      </c>
      <c r="H1691" t="s">
        <v>340</v>
      </c>
      <c r="I1691" t="s">
        <v>303</v>
      </c>
      <c r="J1691" t="s">
        <v>2029</v>
      </c>
      <c r="K1691" t="s">
        <v>2115</v>
      </c>
    </row>
    <row r="1692" spans="1:11">
      <c r="A1692" t="s">
        <v>2030</v>
      </c>
      <c r="B1692" t="b">
        <v>0</v>
      </c>
      <c r="C1692" t="s">
        <v>340</v>
      </c>
      <c r="D1692" t="s">
        <v>340</v>
      </c>
      <c r="E1692" t="s">
        <v>340</v>
      </c>
      <c r="H1692" t="s">
        <v>340</v>
      </c>
      <c r="I1692" t="s">
        <v>303</v>
      </c>
      <c r="J1692" t="s">
        <v>2029</v>
      </c>
      <c r="K1692" t="s">
        <v>2115</v>
      </c>
    </row>
    <row r="1693" spans="1:11">
      <c r="A1693" t="s">
        <v>2031</v>
      </c>
      <c r="B1693" t="b">
        <v>0</v>
      </c>
      <c r="C1693" t="s">
        <v>330</v>
      </c>
      <c r="D1693" t="s">
        <v>322</v>
      </c>
      <c r="E1693" t="s">
        <v>330</v>
      </c>
      <c r="H1693" t="s">
        <v>301</v>
      </c>
      <c r="I1693" t="s">
        <v>303</v>
      </c>
      <c r="J1693" t="s">
        <v>2029</v>
      </c>
      <c r="K1693" t="s">
        <v>2115</v>
      </c>
    </row>
    <row r="1694" spans="1:11">
      <c r="A1694" t="s">
        <v>2032</v>
      </c>
      <c r="B1694" t="b">
        <v>0</v>
      </c>
      <c r="C1694" t="s">
        <v>301</v>
      </c>
      <c r="D1694" t="s">
        <v>322</v>
      </c>
      <c r="E1694" t="s">
        <v>323</v>
      </c>
      <c r="H1694" t="s">
        <v>301</v>
      </c>
      <c r="I1694" t="s">
        <v>303</v>
      </c>
      <c r="J1694" t="s">
        <v>2029</v>
      </c>
      <c r="K1694" t="s">
        <v>2115</v>
      </c>
    </row>
    <row r="1695" spans="1:11">
      <c r="A1695" t="s">
        <v>2033</v>
      </c>
      <c r="B1695" t="b">
        <v>0</v>
      </c>
      <c r="C1695" t="s">
        <v>301</v>
      </c>
      <c r="D1695" t="s">
        <v>322</v>
      </c>
      <c r="E1695" t="s">
        <v>323</v>
      </c>
      <c r="H1695" t="s">
        <v>301</v>
      </c>
      <c r="I1695" t="s">
        <v>303</v>
      </c>
      <c r="J1695" t="s">
        <v>2029</v>
      </c>
      <c r="K1695" t="s">
        <v>2115</v>
      </c>
    </row>
    <row r="1696" spans="1:11">
      <c r="A1696" t="s">
        <v>2034</v>
      </c>
      <c r="B1696" t="b">
        <v>0</v>
      </c>
      <c r="C1696" t="s">
        <v>301</v>
      </c>
      <c r="D1696" t="s">
        <v>301</v>
      </c>
      <c r="E1696" t="s">
        <v>301</v>
      </c>
      <c r="H1696" t="s">
        <v>301</v>
      </c>
      <c r="I1696" t="s">
        <v>303</v>
      </c>
      <c r="J1696" t="s">
        <v>2029</v>
      </c>
      <c r="K1696" t="s">
        <v>2115</v>
      </c>
    </row>
    <row r="1697" spans="1:11">
      <c r="A1697" t="s">
        <v>2035</v>
      </c>
      <c r="B1697" t="b">
        <v>0</v>
      </c>
      <c r="C1697" t="s">
        <v>330</v>
      </c>
      <c r="D1697" t="s">
        <v>322</v>
      </c>
      <c r="E1697" t="s">
        <v>330</v>
      </c>
      <c r="H1697" t="s">
        <v>301</v>
      </c>
      <c r="I1697" t="s">
        <v>303</v>
      </c>
      <c r="J1697" t="s">
        <v>2029</v>
      </c>
      <c r="K1697" t="s">
        <v>2115</v>
      </c>
    </row>
    <row r="1698" spans="1:11">
      <c r="A1698" t="s">
        <v>2036</v>
      </c>
      <c r="B1698" t="b">
        <v>0</v>
      </c>
      <c r="C1698" t="s">
        <v>340</v>
      </c>
      <c r="D1698" t="s">
        <v>340</v>
      </c>
      <c r="E1698" t="s">
        <v>340</v>
      </c>
      <c r="H1698" t="s">
        <v>340</v>
      </c>
      <c r="I1698" t="s">
        <v>303</v>
      </c>
      <c r="J1698" t="s">
        <v>2029</v>
      </c>
      <c r="K1698" t="s">
        <v>2115</v>
      </c>
    </row>
    <row r="1699" spans="1:11">
      <c r="A1699" t="s">
        <v>2037</v>
      </c>
      <c r="B1699" t="b">
        <v>0</v>
      </c>
      <c r="C1699" t="s">
        <v>353</v>
      </c>
      <c r="D1699" t="s">
        <v>322</v>
      </c>
      <c r="E1699" t="s">
        <v>353</v>
      </c>
      <c r="H1699" t="s">
        <v>301</v>
      </c>
      <c r="I1699" t="s">
        <v>303</v>
      </c>
      <c r="J1699" t="s">
        <v>2029</v>
      </c>
      <c r="K1699" t="s">
        <v>2115</v>
      </c>
    </row>
    <row r="1700" spans="1:11">
      <c r="A1700" t="s">
        <v>2038</v>
      </c>
      <c r="B1700" t="b">
        <v>0</v>
      </c>
      <c r="C1700" t="s">
        <v>340</v>
      </c>
      <c r="D1700" t="s">
        <v>322</v>
      </c>
      <c r="E1700" t="s">
        <v>340</v>
      </c>
      <c r="H1700" t="s">
        <v>340</v>
      </c>
      <c r="I1700" t="s">
        <v>303</v>
      </c>
      <c r="J1700" t="s">
        <v>2029</v>
      </c>
      <c r="K1700" t="s">
        <v>2115</v>
      </c>
    </row>
    <row r="1701" spans="1:11">
      <c r="A1701" t="s">
        <v>2039</v>
      </c>
      <c r="B1701" t="b">
        <v>0</v>
      </c>
      <c r="H1701" t="s">
        <v>302</v>
      </c>
      <c r="I1701" t="s">
        <v>303</v>
      </c>
      <c r="J1701" t="s">
        <v>2029</v>
      </c>
      <c r="K1701" t="s">
        <v>2115</v>
      </c>
    </row>
    <row r="1702" spans="1:11">
      <c r="A1702" t="s">
        <v>2040</v>
      </c>
      <c r="B1702" t="b">
        <v>0</v>
      </c>
      <c r="C1702" t="s">
        <v>330</v>
      </c>
      <c r="D1702" t="s">
        <v>322</v>
      </c>
      <c r="E1702" t="s">
        <v>330</v>
      </c>
      <c r="H1702" t="s">
        <v>301</v>
      </c>
      <c r="I1702" t="s">
        <v>303</v>
      </c>
      <c r="J1702" t="s">
        <v>2029</v>
      </c>
      <c r="K1702" t="s">
        <v>2115</v>
      </c>
    </row>
    <row r="1703" spans="1:11">
      <c r="A1703" t="s">
        <v>2041</v>
      </c>
      <c r="B1703" t="b">
        <v>0</v>
      </c>
      <c r="C1703" t="s">
        <v>301</v>
      </c>
      <c r="D1703" t="s">
        <v>322</v>
      </c>
      <c r="E1703" t="s">
        <v>323</v>
      </c>
      <c r="H1703" t="s">
        <v>301</v>
      </c>
      <c r="I1703" t="s">
        <v>303</v>
      </c>
      <c r="J1703" t="s">
        <v>2029</v>
      </c>
      <c r="K1703" t="s">
        <v>2115</v>
      </c>
    </row>
    <row r="1704" spans="1:11">
      <c r="A1704" t="s">
        <v>2042</v>
      </c>
      <c r="B1704" t="b">
        <v>0</v>
      </c>
      <c r="C1704" t="s">
        <v>301</v>
      </c>
      <c r="D1704" t="s">
        <v>322</v>
      </c>
      <c r="E1704" t="s">
        <v>323</v>
      </c>
      <c r="H1704" t="s">
        <v>302</v>
      </c>
      <c r="I1704" t="s">
        <v>303</v>
      </c>
      <c r="J1704" t="s">
        <v>610</v>
      </c>
    </row>
    <row r="1705" spans="1:11">
      <c r="A1705" t="s">
        <v>2043</v>
      </c>
      <c r="B1705" t="b">
        <v>0</v>
      </c>
      <c r="C1705" t="s">
        <v>340</v>
      </c>
      <c r="D1705" t="s">
        <v>340</v>
      </c>
      <c r="E1705" t="s">
        <v>340</v>
      </c>
      <c r="H1705" t="s">
        <v>302</v>
      </c>
      <c r="I1705" t="s">
        <v>303</v>
      </c>
      <c r="J1705" t="s">
        <v>610</v>
      </c>
    </row>
    <row r="1706" spans="1:11">
      <c r="A1706" t="s">
        <v>2044</v>
      </c>
      <c r="B1706" t="b">
        <v>0</v>
      </c>
      <c r="C1706" t="s">
        <v>340</v>
      </c>
      <c r="D1706" t="s">
        <v>340</v>
      </c>
      <c r="E1706" t="s">
        <v>340</v>
      </c>
      <c r="H1706" t="s">
        <v>302</v>
      </c>
      <c r="I1706" t="s">
        <v>303</v>
      </c>
      <c r="J1706" t="s">
        <v>610</v>
      </c>
    </row>
    <row r="1707" spans="1:11">
      <c r="A1707" t="s">
        <v>2045</v>
      </c>
      <c r="B1707" t="b">
        <v>0</v>
      </c>
      <c r="C1707" t="s">
        <v>330</v>
      </c>
      <c r="D1707" t="s">
        <v>322</v>
      </c>
      <c r="E1707" t="s">
        <v>330</v>
      </c>
      <c r="H1707" t="s">
        <v>302</v>
      </c>
      <c r="I1707" t="s">
        <v>303</v>
      </c>
      <c r="J1707" t="s">
        <v>610</v>
      </c>
    </row>
    <row r="1708" spans="1:11">
      <c r="A1708" t="s">
        <v>2046</v>
      </c>
      <c r="B1708" t="b">
        <v>0</v>
      </c>
      <c r="C1708" t="s">
        <v>340</v>
      </c>
      <c r="D1708" t="s">
        <v>340</v>
      </c>
      <c r="E1708" t="s">
        <v>340</v>
      </c>
      <c r="H1708" t="s">
        <v>302</v>
      </c>
      <c r="I1708" t="s">
        <v>303</v>
      </c>
      <c r="J1708" t="s">
        <v>610</v>
      </c>
    </row>
    <row r="1709" spans="1:11">
      <c r="A1709" t="s">
        <v>2047</v>
      </c>
      <c r="B1709" t="b">
        <v>0</v>
      </c>
      <c r="C1709" t="s">
        <v>340</v>
      </c>
      <c r="D1709" t="s">
        <v>340</v>
      </c>
      <c r="E1709" t="s">
        <v>340</v>
      </c>
      <c r="H1709" t="s">
        <v>302</v>
      </c>
      <c r="I1709" t="s">
        <v>303</v>
      </c>
      <c r="J1709" t="s">
        <v>610</v>
      </c>
    </row>
    <row r="1710" spans="1:11">
      <c r="A1710" t="s">
        <v>2048</v>
      </c>
      <c r="B1710" t="b">
        <v>0</v>
      </c>
      <c r="C1710" t="s">
        <v>330</v>
      </c>
      <c r="D1710" t="s">
        <v>322</v>
      </c>
      <c r="E1710" t="s">
        <v>330</v>
      </c>
      <c r="H1710" t="s">
        <v>302</v>
      </c>
      <c r="I1710" t="s">
        <v>303</v>
      </c>
      <c r="J1710" t="s">
        <v>610</v>
      </c>
    </row>
    <row r="1711" spans="1:11">
      <c r="A1711" t="s">
        <v>2049</v>
      </c>
      <c r="B1711" t="b">
        <v>0</v>
      </c>
      <c r="C1711" t="s">
        <v>301</v>
      </c>
      <c r="D1711" t="s">
        <v>322</v>
      </c>
      <c r="E1711" t="s">
        <v>323</v>
      </c>
      <c r="H1711" t="s">
        <v>302</v>
      </c>
      <c r="I1711" t="s">
        <v>303</v>
      </c>
      <c r="J1711" t="s">
        <v>610</v>
      </c>
    </row>
    <row r="1712" spans="1:11">
      <c r="A1712" t="s">
        <v>2050</v>
      </c>
      <c r="B1712" t="b">
        <v>0</v>
      </c>
      <c r="C1712" t="s">
        <v>301</v>
      </c>
      <c r="D1712" t="s">
        <v>301</v>
      </c>
      <c r="E1712" t="s">
        <v>301</v>
      </c>
      <c r="H1712" t="s">
        <v>302</v>
      </c>
      <c r="I1712" t="s">
        <v>303</v>
      </c>
      <c r="J1712" t="s">
        <v>610</v>
      </c>
    </row>
    <row r="1713" spans="1:10">
      <c r="A1713" t="s">
        <v>2051</v>
      </c>
      <c r="B1713" t="b">
        <v>0</v>
      </c>
      <c r="C1713" t="s">
        <v>340</v>
      </c>
      <c r="D1713" t="s">
        <v>340</v>
      </c>
      <c r="E1713" t="s">
        <v>340</v>
      </c>
      <c r="H1713" t="s">
        <v>302</v>
      </c>
      <c r="I1713" t="s">
        <v>303</v>
      </c>
      <c r="J1713" t="s">
        <v>610</v>
      </c>
    </row>
    <row r="1714" spans="1:10">
      <c r="A1714" t="s">
        <v>2052</v>
      </c>
      <c r="B1714" t="b">
        <v>0</v>
      </c>
      <c r="C1714" t="s">
        <v>330</v>
      </c>
      <c r="D1714" t="s">
        <v>322</v>
      </c>
      <c r="E1714" t="s">
        <v>330</v>
      </c>
      <c r="H1714" t="s">
        <v>302</v>
      </c>
      <c r="I1714" t="s">
        <v>303</v>
      </c>
      <c r="J1714" t="s">
        <v>610</v>
      </c>
    </row>
    <row r="1715" spans="1:10">
      <c r="A1715" t="s">
        <v>2053</v>
      </c>
      <c r="B1715" t="b">
        <v>0</v>
      </c>
      <c r="H1715" t="s">
        <v>302</v>
      </c>
      <c r="I1715" t="s">
        <v>303</v>
      </c>
      <c r="J1715" t="s">
        <v>610</v>
      </c>
    </row>
    <row r="1716" spans="1:10">
      <c r="A1716" t="s">
        <v>2054</v>
      </c>
      <c r="B1716" t="b">
        <v>0</v>
      </c>
      <c r="C1716" t="s">
        <v>301</v>
      </c>
      <c r="D1716" t="s">
        <v>301</v>
      </c>
      <c r="E1716" t="s">
        <v>301</v>
      </c>
      <c r="H1716" t="s">
        <v>302</v>
      </c>
      <c r="I1716" t="s">
        <v>303</v>
      </c>
      <c r="J1716" t="s">
        <v>610</v>
      </c>
    </row>
    <row r="1717" spans="1:10">
      <c r="A1717" t="s">
        <v>2055</v>
      </c>
      <c r="B1717" t="b">
        <v>0</v>
      </c>
      <c r="C1717" t="s">
        <v>340</v>
      </c>
      <c r="D1717" t="s">
        <v>340</v>
      </c>
      <c r="E1717" t="s">
        <v>340</v>
      </c>
      <c r="H1717" t="s">
        <v>302</v>
      </c>
      <c r="I1717" t="s">
        <v>303</v>
      </c>
      <c r="J1717" t="s">
        <v>610</v>
      </c>
    </row>
    <row r="1718" spans="1:10">
      <c r="A1718" t="s">
        <v>2056</v>
      </c>
      <c r="B1718" t="b">
        <v>0</v>
      </c>
      <c r="H1718" t="s">
        <v>302</v>
      </c>
      <c r="I1718" t="s">
        <v>303</v>
      </c>
      <c r="J1718" t="s">
        <v>610</v>
      </c>
    </row>
    <row r="1719" spans="1:10">
      <c r="A1719" t="s">
        <v>2057</v>
      </c>
      <c r="B1719" t="b">
        <v>0</v>
      </c>
      <c r="C1719" t="s">
        <v>340</v>
      </c>
      <c r="D1719" t="s">
        <v>340</v>
      </c>
      <c r="E1719" t="s">
        <v>340</v>
      </c>
      <c r="H1719" t="s">
        <v>302</v>
      </c>
      <c r="I1719" t="s">
        <v>303</v>
      </c>
      <c r="J1719" t="s">
        <v>610</v>
      </c>
    </row>
    <row r="1720" spans="1:10">
      <c r="A1720" t="s">
        <v>2058</v>
      </c>
      <c r="B1720" t="b">
        <v>0</v>
      </c>
      <c r="C1720" t="s">
        <v>340</v>
      </c>
      <c r="D1720" t="s">
        <v>340</v>
      </c>
      <c r="E1720" t="s">
        <v>340</v>
      </c>
      <c r="H1720" t="s">
        <v>302</v>
      </c>
      <c r="I1720" t="s">
        <v>303</v>
      </c>
      <c r="J1720" t="s">
        <v>610</v>
      </c>
    </row>
    <row r="1721" spans="1:10">
      <c r="A1721" t="s">
        <v>2059</v>
      </c>
      <c r="B1721" t="b">
        <v>0</v>
      </c>
      <c r="H1721" t="s">
        <v>302</v>
      </c>
      <c r="I1721" t="s">
        <v>303</v>
      </c>
      <c r="J1721" t="s">
        <v>610</v>
      </c>
    </row>
    <row r="1722" spans="1:10">
      <c r="A1722" t="s">
        <v>2060</v>
      </c>
      <c r="B1722" t="b">
        <v>0</v>
      </c>
      <c r="C1722" t="s">
        <v>340</v>
      </c>
      <c r="D1722" t="s">
        <v>340</v>
      </c>
      <c r="E1722" t="s">
        <v>340</v>
      </c>
      <c r="H1722" t="s">
        <v>302</v>
      </c>
      <c r="I1722" t="s">
        <v>303</v>
      </c>
      <c r="J1722" t="s">
        <v>610</v>
      </c>
    </row>
    <row r="1723" spans="1:10">
      <c r="A1723" t="s">
        <v>2061</v>
      </c>
      <c r="B1723" t="b">
        <v>0</v>
      </c>
      <c r="C1723" t="s">
        <v>340</v>
      </c>
      <c r="D1723" t="s">
        <v>340</v>
      </c>
      <c r="E1723" t="s">
        <v>340</v>
      </c>
      <c r="H1723" t="s">
        <v>302</v>
      </c>
      <c r="I1723" t="s">
        <v>303</v>
      </c>
      <c r="J1723" t="s">
        <v>610</v>
      </c>
    </row>
    <row r="1724" spans="1:10">
      <c r="A1724" t="s">
        <v>2062</v>
      </c>
      <c r="B1724" t="b">
        <v>0</v>
      </c>
      <c r="C1724" t="s">
        <v>330</v>
      </c>
      <c r="D1724" t="s">
        <v>330</v>
      </c>
      <c r="E1724" t="s">
        <v>330</v>
      </c>
      <c r="H1724" t="s">
        <v>302</v>
      </c>
      <c r="I1724" t="s">
        <v>303</v>
      </c>
      <c r="J1724" t="s">
        <v>610</v>
      </c>
    </row>
    <row r="1725" spans="1:10">
      <c r="A1725" t="s">
        <v>2063</v>
      </c>
      <c r="B1725" t="b">
        <v>0</v>
      </c>
      <c r="H1725" t="s">
        <v>302</v>
      </c>
      <c r="I1725" t="s">
        <v>303</v>
      </c>
      <c r="J1725" t="s">
        <v>610</v>
      </c>
    </row>
    <row r="1726" spans="1:10">
      <c r="A1726" t="s">
        <v>2064</v>
      </c>
      <c r="B1726" t="b">
        <v>0</v>
      </c>
      <c r="H1726" t="s">
        <v>302</v>
      </c>
      <c r="I1726" t="s">
        <v>303</v>
      </c>
      <c r="J1726" t="s">
        <v>610</v>
      </c>
    </row>
    <row r="1727" spans="1:10">
      <c r="A1727" t="s">
        <v>2065</v>
      </c>
      <c r="B1727" t="b">
        <v>0</v>
      </c>
      <c r="H1727" t="s">
        <v>302</v>
      </c>
      <c r="I1727" t="s">
        <v>303</v>
      </c>
      <c r="J1727" t="s">
        <v>610</v>
      </c>
    </row>
    <row r="1728" spans="1:10">
      <c r="A1728" t="s">
        <v>2066</v>
      </c>
      <c r="B1728" t="b">
        <v>0</v>
      </c>
      <c r="C1728" t="s">
        <v>301</v>
      </c>
      <c r="D1728" t="s">
        <v>301</v>
      </c>
      <c r="E1728" t="s">
        <v>301</v>
      </c>
      <c r="H1728" t="s">
        <v>302</v>
      </c>
      <c r="I1728" t="s">
        <v>303</v>
      </c>
      <c r="J1728" t="s">
        <v>610</v>
      </c>
    </row>
    <row r="1729" spans="1:10">
      <c r="A1729" t="s">
        <v>2067</v>
      </c>
      <c r="B1729" t="b">
        <v>0</v>
      </c>
      <c r="C1729" t="s">
        <v>330</v>
      </c>
      <c r="D1729" t="s">
        <v>322</v>
      </c>
      <c r="E1729" t="s">
        <v>323</v>
      </c>
      <c r="H1729" t="s">
        <v>302</v>
      </c>
      <c r="I1729" t="s">
        <v>303</v>
      </c>
      <c r="J1729" t="s">
        <v>610</v>
      </c>
    </row>
    <row r="1730" spans="1:10">
      <c r="A1730" t="s">
        <v>2068</v>
      </c>
      <c r="B1730" t="b">
        <v>0</v>
      </c>
      <c r="C1730" t="s">
        <v>301</v>
      </c>
      <c r="D1730" t="s">
        <v>322</v>
      </c>
      <c r="E1730" t="s">
        <v>301</v>
      </c>
      <c r="H1730" t="s">
        <v>302</v>
      </c>
      <c r="I1730" t="s">
        <v>303</v>
      </c>
      <c r="J1730" t="s">
        <v>610</v>
      </c>
    </row>
    <row r="1731" spans="1:10">
      <c r="A1731" t="s">
        <v>2069</v>
      </c>
      <c r="B1731" t="b">
        <v>0</v>
      </c>
      <c r="H1731" t="s">
        <v>302</v>
      </c>
      <c r="I1731" t="s">
        <v>303</v>
      </c>
      <c r="J1731" t="s">
        <v>610</v>
      </c>
    </row>
    <row r="1732" spans="1:10">
      <c r="A1732" t="s">
        <v>2070</v>
      </c>
      <c r="B1732" t="b">
        <v>0</v>
      </c>
      <c r="C1732" t="s">
        <v>301</v>
      </c>
      <c r="D1732" t="s">
        <v>322</v>
      </c>
      <c r="E1732" t="s">
        <v>301</v>
      </c>
      <c r="H1732" t="s">
        <v>302</v>
      </c>
      <c r="I1732" t="s">
        <v>303</v>
      </c>
      <c r="J1732" t="s">
        <v>610</v>
      </c>
    </row>
    <row r="1733" spans="1:10">
      <c r="A1733" t="s">
        <v>2071</v>
      </c>
      <c r="B1733" t="b">
        <v>0</v>
      </c>
      <c r="C1733" t="s">
        <v>330</v>
      </c>
      <c r="D1733" t="s">
        <v>322</v>
      </c>
      <c r="E1733" t="s">
        <v>323</v>
      </c>
      <c r="H1733" t="s">
        <v>302</v>
      </c>
      <c r="I1733" t="s">
        <v>303</v>
      </c>
      <c r="J1733" t="s">
        <v>610</v>
      </c>
    </row>
    <row r="1734" spans="1:10">
      <c r="A1734" t="s">
        <v>2072</v>
      </c>
      <c r="B1734" t="b">
        <v>0</v>
      </c>
      <c r="H1734" t="s">
        <v>302</v>
      </c>
      <c r="I1734" t="s">
        <v>303</v>
      </c>
      <c r="J1734" t="s">
        <v>304</v>
      </c>
    </row>
    <row r="1735" spans="1:10">
      <c r="A1735" t="s">
        <v>2073</v>
      </c>
      <c r="B1735" t="b">
        <v>0</v>
      </c>
      <c r="H1735" t="s">
        <v>302</v>
      </c>
      <c r="I1735" t="s">
        <v>303</v>
      </c>
      <c r="J1735" t="s">
        <v>304</v>
      </c>
    </row>
    <row r="1736" spans="1:10">
      <c r="A1736" t="s">
        <v>2074</v>
      </c>
      <c r="B1736" t="b">
        <v>0</v>
      </c>
      <c r="H1736" t="s">
        <v>302</v>
      </c>
      <c r="I1736" t="s">
        <v>303</v>
      </c>
      <c r="J1736" t="s">
        <v>304</v>
      </c>
    </row>
    <row r="1737" spans="1:10">
      <c r="A1737" t="s">
        <v>2075</v>
      </c>
      <c r="B1737" t="b">
        <v>0</v>
      </c>
      <c r="H1737" t="s">
        <v>302</v>
      </c>
      <c r="I1737" t="s">
        <v>303</v>
      </c>
      <c r="J1737" t="s">
        <v>304</v>
      </c>
    </row>
    <row r="1738" spans="1:10">
      <c r="A1738" t="s">
        <v>2076</v>
      </c>
      <c r="B1738" t="b">
        <v>0</v>
      </c>
      <c r="H1738" t="s">
        <v>302</v>
      </c>
      <c r="I1738" t="s">
        <v>303</v>
      </c>
      <c r="J1738" t="s">
        <v>304</v>
      </c>
    </row>
    <row r="1739" spans="1:10">
      <c r="A1739" t="s">
        <v>2077</v>
      </c>
      <c r="B1739" t="b">
        <v>0</v>
      </c>
      <c r="H1739" t="s">
        <v>302</v>
      </c>
      <c r="I1739" t="s">
        <v>303</v>
      </c>
      <c r="J1739" t="s">
        <v>304</v>
      </c>
    </row>
    <row r="1740" spans="1:10">
      <c r="A1740" t="s">
        <v>2078</v>
      </c>
      <c r="B1740" t="b">
        <v>0</v>
      </c>
      <c r="H1740" t="s">
        <v>302</v>
      </c>
      <c r="I1740" t="s">
        <v>303</v>
      </c>
      <c r="J1740" t="s">
        <v>304</v>
      </c>
    </row>
    <row r="1741" spans="1:10">
      <c r="A1741" t="s">
        <v>2079</v>
      </c>
      <c r="B1741" t="b">
        <v>0</v>
      </c>
      <c r="H1741" t="s">
        <v>302</v>
      </c>
      <c r="I1741" t="s">
        <v>303</v>
      </c>
      <c r="J1741" t="s">
        <v>304</v>
      </c>
    </row>
    <row r="1742" spans="1:10">
      <c r="A1742" t="s">
        <v>2080</v>
      </c>
      <c r="B1742" t="b">
        <v>0</v>
      </c>
      <c r="H1742" t="s">
        <v>302</v>
      </c>
      <c r="I1742" t="s">
        <v>303</v>
      </c>
      <c r="J1742" t="s">
        <v>304</v>
      </c>
    </row>
    <row r="1743" spans="1:10">
      <c r="A1743" t="s">
        <v>2081</v>
      </c>
      <c r="B1743" t="b">
        <v>0</v>
      </c>
      <c r="H1743" t="s">
        <v>302</v>
      </c>
      <c r="I1743" t="s">
        <v>303</v>
      </c>
      <c r="J1743" t="s">
        <v>304</v>
      </c>
    </row>
    <row r="1744" spans="1:10">
      <c r="A1744" t="s">
        <v>2082</v>
      </c>
      <c r="B1744" t="b">
        <v>0</v>
      </c>
      <c r="H1744" t="s">
        <v>302</v>
      </c>
      <c r="I1744" t="s">
        <v>303</v>
      </c>
      <c r="J1744" t="s">
        <v>304</v>
      </c>
    </row>
    <row r="1745" spans="1:10">
      <c r="A1745" t="s">
        <v>2083</v>
      </c>
      <c r="B1745" t="b">
        <v>0</v>
      </c>
      <c r="H1745" t="s">
        <v>302</v>
      </c>
      <c r="I1745" t="s">
        <v>303</v>
      </c>
      <c r="J1745" t="s">
        <v>304</v>
      </c>
    </row>
    <row r="1746" spans="1:10">
      <c r="A1746" t="s">
        <v>2084</v>
      </c>
      <c r="B1746" t="b">
        <v>0</v>
      </c>
      <c r="H1746" t="s">
        <v>302</v>
      </c>
      <c r="I1746" t="s">
        <v>303</v>
      </c>
      <c r="J1746" t="s">
        <v>304</v>
      </c>
    </row>
    <row r="1747" spans="1:10">
      <c r="A1747" t="s">
        <v>2085</v>
      </c>
      <c r="B1747" t="b">
        <v>0</v>
      </c>
      <c r="H1747" t="s">
        <v>302</v>
      </c>
      <c r="I1747" t="s">
        <v>303</v>
      </c>
      <c r="J1747" t="s">
        <v>304</v>
      </c>
    </row>
    <row r="1748" spans="1:10">
      <c r="A1748" t="s">
        <v>2086</v>
      </c>
      <c r="B1748" t="b">
        <v>0</v>
      </c>
      <c r="H1748" t="s">
        <v>302</v>
      </c>
      <c r="I1748" t="s">
        <v>303</v>
      </c>
      <c r="J1748" t="s">
        <v>304</v>
      </c>
    </row>
    <row r="1749" spans="1:10">
      <c r="A1749" t="s">
        <v>2087</v>
      </c>
      <c r="B1749" t="b">
        <v>0</v>
      </c>
      <c r="H1749" t="s">
        <v>302</v>
      </c>
      <c r="I1749" t="s">
        <v>303</v>
      </c>
      <c r="J1749" t="s">
        <v>304</v>
      </c>
    </row>
    <row r="1750" spans="1:10">
      <c r="A1750" t="s">
        <v>2088</v>
      </c>
      <c r="B1750" t="b">
        <v>0</v>
      </c>
      <c r="H1750" t="s">
        <v>302</v>
      </c>
      <c r="I1750" t="s">
        <v>303</v>
      </c>
      <c r="J1750" t="s">
        <v>304</v>
      </c>
    </row>
    <row r="1751" spans="1:10">
      <c r="A1751" t="s">
        <v>2089</v>
      </c>
      <c r="B1751" t="b">
        <v>0</v>
      </c>
      <c r="H1751" t="s">
        <v>302</v>
      </c>
      <c r="I1751" t="s">
        <v>303</v>
      </c>
      <c r="J1751" t="s">
        <v>304</v>
      </c>
    </row>
    <row r="1752" spans="1:10">
      <c r="A1752" t="s">
        <v>2090</v>
      </c>
      <c r="B1752" t="b">
        <v>0</v>
      </c>
      <c r="H1752" t="s">
        <v>302</v>
      </c>
      <c r="I1752" t="s">
        <v>303</v>
      </c>
      <c r="J1752" t="s">
        <v>304</v>
      </c>
    </row>
    <row r="1753" spans="1:10">
      <c r="A1753" t="s">
        <v>2091</v>
      </c>
      <c r="B1753" t="b">
        <v>0</v>
      </c>
      <c r="H1753" t="s">
        <v>302</v>
      </c>
      <c r="I1753" t="s">
        <v>303</v>
      </c>
      <c r="J1753" t="s">
        <v>304</v>
      </c>
    </row>
    <row r="1754" spans="1:10">
      <c r="A1754" t="s">
        <v>2092</v>
      </c>
      <c r="B1754" t="b">
        <v>0</v>
      </c>
      <c r="H1754" t="s">
        <v>302</v>
      </c>
      <c r="I1754" t="s">
        <v>303</v>
      </c>
      <c r="J1754" t="s">
        <v>304</v>
      </c>
    </row>
    <row r="1755" spans="1:10">
      <c r="A1755" t="s">
        <v>2093</v>
      </c>
      <c r="B1755" t="b">
        <v>0</v>
      </c>
      <c r="H1755" t="s">
        <v>302</v>
      </c>
      <c r="I1755" t="s">
        <v>303</v>
      </c>
      <c r="J1755" t="s">
        <v>304</v>
      </c>
    </row>
    <row r="1756" spans="1:10">
      <c r="A1756" t="s">
        <v>2094</v>
      </c>
      <c r="B1756" t="b">
        <v>0</v>
      </c>
      <c r="H1756" t="s">
        <v>302</v>
      </c>
      <c r="I1756" t="s">
        <v>303</v>
      </c>
      <c r="J1756" t="s">
        <v>304</v>
      </c>
    </row>
    <row r="1757" spans="1:10">
      <c r="A1757" t="s">
        <v>2095</v>
      </c>
      <c r="B1757" t="b">
        <v>0</v>
      </c>
      <c r="H1757" t="s">
        <v>302</v>
      </c>
      <c r="I1757" t="s">
        <v>303</v>
      </c>
      <c r="J1757" t="s">
        <v>304</v>
      </c>
    </row>
    <row r="1758" spans="1:10">
      <c r="A1758" t="s">
        <v>2096</v>
      </c>
      <c r="B1758" t="b">
        <v>0</v>
      </c>
      <c r="H1758" t="s">
        <v>302</v>
      </c>
      <c r="I1758" t="s">
        <v>303</v>
      </c>
      <c r="J1758" t="s">
        <v>411</v>
      </c>
    </row>
    <row r="1759" spans="1:10">
      <c r="A1759" t="s">
        <v>2097</v>
      </c>
      <c r="B1759" t="b">
        <v>0</v>
      </c>
      <c r="H1759" t="s">
        <v>302</v>
      </c>
      <c r="I1759" t="s">
        <v>303</v>
      </c>
      <c r="J1759" t="s">
        <v>411</v>
      </c>
    </row>
    <row r="1760" spans="1:10">
      <c r="A1760" t="s">
        <v>2098</v>
      </c>
      <c r="B1760" t="b">
        <v>0</v>
      </c>
      <c r="H1760" t="s">
        <v>302</v>
      </c>
      <c r="I1760" t="s">
        <v>303</v>
      </c>
      <c r="J1760" t="s">
        <v>411</v>
      </c>
    </row>
    <row r="1761" spans="1:10">
      <c r="A1761" t="s">
        <v>2099</v>
      </c>
      <c r="B1761" t="b">
        <v>0</v>
      </c>
      <c r="H1761" t="s">
        <v>302</v>
      </c>
      <c r="I1761" t="s">
        <v>303</v>
      </c>
      <c r="J1761" t="s">
        <v>411</v>
      </c>
    </row>
    <row r="1762" spans="1:10">
      <c r="A1762" t="s">
        <v>2100</v>
      </c>
      <c r="B1762" t="b">
        <v>0</v>
      </c>
      <c r="H1762" t="s">
        <v>302</v>
      </c>
      <c r="I1762" t="s">
        <v>303</v>
      </c>
      <c r="J1762" t="s">
        <v>411</v>
      </c>
    </row>
    <row r="1763" spans="1:10">
      <c r="A1763" t="s">
        <v>2101</v>
      </c>
      <c r="B1763" t="b">
        <v>0</v>
      </c>
      <c r="H1763" t="s">
        <v>302</v>
      </c>
      <c r="I1763" t="s">
        <v>303</v>
      </c>
      <c r="J1763" t="s">
        <v>411</v>
      </c>
    </row>
    <row r="1764" spans="1:10">
      <c r="A1764" t="s">
        <v>2102</v>
      </c>
      <c r="B1764" t="b">
        <v>0</v>
      </c>
      <c r="H1764" t="s">
        <v>302</v>
      </c>
      <c r="I1764" t="s">
        <v>303</v>
      </c>
      <c r="J1764" t="s">
        <v>411</v>
      </c>
    </row>
    <row r="1765" spans="1:10">
      <c r="A1765" t="s">
        <v>2103</v>
      </c>
      <c r="B1765" t="b">
        <v>0</v>
      </c>
      <c r="H1765" t="s">
        <v>302</v>
      </c>
      <c r="I1765" t="s">
        <v>303</v>
      </c>
      <c r="J1765" t="s">
        <v>411</v>
      </c>
    </row>
    <row r="1766" spans="1:10">
      <c r="A1766" t="s">
        <v>2104</v>
      </c>
      <c r="B1766" t="b">
        <v>0</v>
      </c>
      <c r="H1766" t="s">
        <v>302</v>
      </c>
      <c r="I1766" t="s">
        <v>303</v>
      </c>
      <c r="J1766" t="s">
        <v>411</v>
      </c>
    </row>
    <row r="1767" spans="1:10">
      <c r="A1767" t="s">
        <v>2105</v>
      </c>
      <c r="B1767" t="b">
        <v>0</v>
      </c>
      <c r="H1767" t="s">
        <v>302</v>
      </c>
      <c r="I1767" t="s">
        <v>303</v>
      </c>
      <c r="J1767" t="s">
        <v>411</v>
      </c>
    </row>
    <row r="1768" spans="1:10">
      <c r="A1768" t="s">
        <v>2106</v>
      </c>
      <c r="B1768" t="b">
        <v>0</v>
      </c>
      <c r="H1768" t="s">
        <v>302</v>
      </c>
      <c r="I1768" t="s">
        <v>303</v>
      </c>
      <c r="J1768" t="s">
        <v>411</v>
      </c>
    </row>
    <row r="1769" spans="1:10">
      <c r="A1769" t="s">
        <v>2107</v>
      </c>
      <c r="B1769" t="b">
        <v>0</v>
      </c>
      <c r="H1769" t="s">
        <v>302</v>
      </c>
      <c r="I1769" t="s">
        <v>303</v>
      </c>
      <c r="J1769" t="s">
        <v>411</v>
      </c>
    </row>
  </sheetData>
  <pageMargins left="0.70787401574803199" right="0.70787401574803199" top="0.75" bottom="0.75" header="0.3" footer="0.3"/>
  <pageSetup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bels"/>
  <dimension ref="A1:K20"/>
  <sheetViews>
    <sheetView zoomScale="90" zoomScaleNormal="90" zoomScaleSheetLayoutView="100" workbookViewId="0">
      <selection activeCell="B10" sqref="B10"/>
    </sheetView>
  </sheetViews>
  <sheetFormatPr defaultColWidth="9.44140625" defaultRowHeight="13.2"/>
  <cols>
    <col min="1" max="1" width="30.5546875" bestFit="1" customWidth="1"/>
    <col min="2" max="2" width="64.44140625" bestFit="1" customWidth="1"/>
    <col min="3" max="3" width="41" bestFit="1" customWidth="1"/>
    <col min="4" max="4" width="45.5546875" bestFit="1" customWidth="1"/>
    <col min="5" max="5" width="42.5546875" bestFit="1" customWidth="1"/>
    <col min="6" max="6" width="34.5546875" bestFit="1" customWidth="1"/>
    <col min="7" max="7" width="34" bestFit="1" customWidth="1"/>
    <col min="8" max="8" width="33.5546875" bestFit="1" customWidth="1"/>
    <col min="9" max="9" width="41.5546875" bestFit="1" customWidth="1"/>
    <col min="10" max="10" width="10.44140625" bestFit="1" customWidth="1"/>
    <col min="11" max="11" width="11.44140625" bestFit="1" customWidth="1"/>
  </cols>
  <sheetData>
    <row r="1" spans="1:11">
      <c r="A1">
        <v>1</v>
      </c>
      <c r="C1" s="30"/>
      <c r="D1" s="34"/>
      <c r="E1" s="30"/>
      <c r="F1" s="30"/>
    </row>
    <row r="2" spans="1:11">
      <c r="A2">
        <v>2</v>
      </c>
      <c r="B2" s="35"/>
      <c r="C2" s="30"/>
      <c r="D2" s="34"/>
    </row>
    <row r="3" spans="1:11">
      <c r="A3">
        <v>3</v>
      </c>
      <c r="C3" s="30"/>
      <c r="D3" s="30"/>
    </row>
    <row r="4" spans="1:11">
      <c r="A4">
        <v>4</v>
      </c>
    </row>
    <row r="5" spans="1:11">
      <c r="A5">
        <v>5</v>
      </c>
    </row>
    <row r="6" spans="1:11">
      <c r="A6">
        <v>6</v>
      </c>
    </row>
    <row r="7" spans="1:11">
      <c r="A7">
        <v>7</v>
      </c>
    </row>
    <row r="8" spans="1:11">
      <c r="A8">
        <v>8</v>
      </c>
    </row>
    <row r="9" spans="1:11">
      <c r="A9" t="s">
        <v>136</v>
      </c>
    </row>
    <row r="10" spans="1:11">
      <c r="A10" t="s">
        <v>116</v>
      </c>
      <c r="B10" t="s">
        <v>117</v>
      </c>
      <c r="C10" t="s">
        <v>118</v>
      </c>
      <c r="D10" t="s">
        <v>119</v>
      </c>
      <c r="E10" t="s">
        <v>120</v>
      </c>
      <c r="F10" t="s">
        <v>137</v>
      </c>
      <c r="G10" t="s">
        <v>121</v>
      </c>
      <c r="H10" t="s">
        <v>122</v>
      </c>
      <c r="I10" t="s">
        <v>123</v>
      </c>
      <c r="J10" t="s">
        <v>124</v>
      </c>
      <c r="K10" t="s">
        <v>125</v>
      </c>
    </row>
    <row r="11" spans="1:11" ht="13.35" customHeight="1">
      <c r="A11" t="str">
        <f>IF(OR(Data!$AV11="",Data!$AW11&gt;999),"","^XA^LH0,0^PRB,D^MD20^JMA^FS")</f>
        <v/>
      </c>
      <c r="B11" t="str">
        <f>IF(A11&lt;&gt;"","^BY2,2.7,13^FO506,20^B2N,132,Y,N,N^SN"&amp;BarcodeValue(Data!BC$5,Data!BD$5,Data!AW11,0)&amp;",N,Y^FS","")</f>
        <v/>
      </c>
      <c r="C11" t="str">
        <f>IF(A11&lt;&gt;"","^FO20,20^A0N,28,37^CI13^FD"&amp;TEXT(Data!AY$5,"d/m/yyyy")&amp;"^FS","")</f>
        <v/>
      </c>
      <c r="D11" t="str">
        <f>IF(A11&lt;&gt;"","^FO220,20^A0N,41,48^CI13^FD"&amp;Data!$BC$5&amp;Data!$BD$5&amp;"/"&amp;RIGHT("000"&amp;Data!AW11,3)&amp;"^FS","")</f>
        <v/>
      </c>
      <c r="E11" t="str">
        <f>IF(A11&lt;&gt;"","^FO20,55^A0N,30,30^CI13^FD"&amp;Data!$BF$5&amp;"^FS","")</f>
        <v/>
      </c>
      <c r="F11" t="str">
        <f>IF(A11&lt;&gt;"","^FO20,95^A0N,30,30^CI13^FD"&amp;Data!AX$5&amp;"^FS","")</f>
        <v/>
      </c>
      <c r="G11" t="str">
        <f>IF(A11&lt;&gt;"","^FO20,135^A0N,30,30^CI13^FD"&amp;Data!BE11&amp;"^FS","")</f>
        <v/>
      </c>
      <c r="H11" t="str">
        <f>IF(A11&lt;&gt;"","^FO20,175^A0N,30,30^CI13^FD"&amp;Data!AY11&amp;"^FS","")</f>
        <v/>
      </c>
      <c r="I11" t="str">
        <f>IF(A11&lt;&gt;"","^FO300,175^A0N,30,30^CI13^FD"&amp;"W:"&amp;Data!BA11&amp;" H:"&amp;Data!BB11,"")</f>
        <v/>
      </c>
      <c r="J11" t="str">
        <f>IF(A11&lt;&gt;"","^PQ"&amp;Data!$F$16&amp;",0,"&amp;Data!$F$16&amp;",Y","")</f>
        <v/>
      </c>
      <c r="K11" t="str">
        <f t="shared" ref="K11:K20" si="0">IF(A11&lt;&gt;"","^XZ","")</f>
        <v/>
      </c>
    </row>
    <row r="12" spans="1:11" ht="13.35" customHeight="1">
      <c r="A12" t="str">
        <f>IF(OR(Data!$AV12="",Data!$AW12&gt;999),"","^XA^LH0,0^PRB,D^MD20^JMA^FS")</f>
        <v/>
      </c>
      <c r="B12" t="str">
        <f>IF(A12&lt;&gt;"","^BY2,2.7,13^FO506,20^B2N,132,Y,N,N^SN"&amp;BarcodeValue(Data!BC$5,Data!BD$5,Data!AW12,0)&amp;",N,Y^FS","")</f>
        <v/>
      </c>
      <c r="C12" t="str">
        <f>IF(A12&lt;&gt;"","^FO20,20^A0N,28,37^CI13^FD"&amp;TEXT(Data!AY$5,"d/m/yyyy")&amp;"^FS","")</f>
        <v/>
      </c>
      <c r="D12" t="str">
        <f>IF(A12&lt;&gt;"","^FO220,20^A0N,41,48^CI13^FD"&amp;Data!$BC$5&amp;Data!$BD$5&amp;"/"&amp;RIGHT("000"&amp;Data!AW12,3)&amp;"^FS","")</f>
        <v/>
      </c>
      <c r="E12" t="str">
        <f>IF(A12&lt;&gt;"","^FO20,55^A0N,30,30^CI13^FD"&amp;Data!$BF$5&amp;"^FS","")</f>
        <v/>
      </c>
      <c r="F12" t="str">
        <f>IF(A12&lt;&gt;"","^FO20,95^A0N,30,30^CI13^FD"&amp;Data!AX$5&amp;"^FS","")</f>
        <v/>
      </c>
      <c r="G12" t="str">
        <f>IF(A12&lt;&gt;"","^FO20,135^A0N,30,30^CI13^FD"&amp;Data!BE12&amp;"^FS","")</f>
        <v/>
      </c>
      <c r="H12" t="str">
        <f>IF(A12&lt;&gt;"","^FO20,175^A0N,30,30^CI13^FD"&amp;Data!AY12&amp;"^FS","")</f>
        <v/>
      </c>
      <c r="I12" t="str">
        <f>IF(A12&lt;&gt;"","^FO300,175^A0N,30,30^CI13^FD"&amp;"W:"&amp;Data!BA12&amp;" H:"&amp;Data!BB12,"")</f>
        <v/>
      </c>
      <c r="J12" t="str">
        <f>IF(A12&lt;&gt;"","^PQ"&amp;Data!$F$16&amp;",0,"&amp;Data!$F$16&amp;",Y","")</f>
        <v/>
      </c>
      <c r="K12" t="str">
        <f t="shared" si="0"/>
        <v/>
      </c>
    </row>
    <row r="13" spans="1:11" ht="13.35" customHeight="1">
      <c r="A13" t="str">
        <f>IF(OR(Data!$AV13="",Data!$AW13&gt;999),"","^XA^LH0,0^PRB,D^MD20^JMA^FS")</f>
        <v/>
      </c>
      <c r="B13" t="str">
        <f>IF(A13&lt;&gt;"","^BY2,2.7,13^FO506,20^B2N,132,Y,N,N^SN"&amp;BarcodeValue(Data!BC$5,Data!BD$5,Data!AW13,0)&amp;",N,Y^FS","")</f>
        <v/>
      </c>
      <c r="C13" t="str">
        <f>IF(A13&lt;&gt;"","^FO20,20^A0N,28,37^CI13^FD"&amp;TEXT(Data!AY$5,"d/m/yyyy")&amp;"^FS","")</f>
        <v/>
      </c>
      <c r="D13" t="str">
        <f>IF(A13&lt;&gt;"","^FO220,20^A0N,41,48^CI13^FD"&amp;Data!$BC$5&amp;Data!$BD$5&amp;"/"&amp;RIGHT("000"&amp;Data!AW13,3)&amp;"^FS","")</f>
        <v/>
      </c>
      <c r="E13" t="str">
        <f>IF(A13&lt;&gt;"","^FO20,55^A0N,30,30^CI13^FD"&amp;Data!$BF$5&amp;"^FS","")</f>
        <v/>
      </c>
      <c r="F13" t="str">
        <f>IF(A13&lt;&gt;"","^FO20,95^A0N,30,30^CI13^FD"&amp;Data!AX$5&amp;"^FS","")</f>
        <v/>
      </c>
      <c r="G13" t="str">
        <f>IF(A13&lt;&gt;"","^FO20,135^A0N,30,30^CI13^FD"&amp;Data!BE13&amp;"^FS","")</f>
        <v/>
      </c>
      <c r="H13" t="str">
        <f>IF(A13&lt;&gt;"","^FO20,175^A0N,30,30^CI13^FD"&amp;Data!AY13&amp;"^FS","")</f>
        <v/>
      </c>
      <c r="I13" t="str">
        <f>IF(A13&lt;&gt;"","^FO300,175^A0N,30,30^CI13^FD"&amp;"W:"&amp;Data!BA13&amp;" H:"&amp;Data!BB13,"")</f>
        <v/>
      </c>
      <c r="J13" t="str">
        <f>IF(A13&lt;&gt;"","^PQ"&amp;Data!$F$16&amp;",0,"&amp;Data!$F$16&amp;",Y","")</f>
        <v/>
      </c>
      <c r="K13" t="str">
        <f t="shared" si="0"/>
        <v/>
      </c>
    </row>
    <row r="14" spans="1:11" ht="13.35" customHeight="1">
      <c r="A14" t="str">
        <f>IF(OR(Data!$AV14="",Data!$AW14&gt;999),"","^XA^LH0,0^PRB,D^MD20^JMA^FS")</f>
        <v/>
      </c>
      <c r="B14" t="str">
        <f>IF(A14&lt;&gt;"","^BY2,2.7,13^FO506,20^B2N,132,Y,N,N^SN"&amp;BarcodeValue(Data!BC$5,Data!BD$5,Data!AW14,0)&amp;",N,Y^FS","")</f>
        <v/>
      </c>
      <c r="C14" t="str">
        <f>IF(A14&lt;&gt;"","^FO20,20^A0N,28,37^CI13^FD"&amp;TEXT(Data!AY$5,"d/m/yyyy")&amp;"^FS","")</f>
        <v/>
      </c>
      <c r="D14" t="str">
        <f>IF(A14&lt;&gt;"","^FO220,20^A0N,41,48^CI13^FD"&amp;Data!$BC$5&amp;Data!$BD$5&amp;"/"&amp;RIGHT("000"&amp;Data!AW14,3)&amp;"^FS","")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IF(A14&lt;&gt;"","^PQ"&amp;Data!$F$16&amp;",0,"&amp;Data!$F$16&amp;",Y","")</f>
        <v/>
      </c>
      <c r="K14" t="str">
        <f t="shared" si="0"/>
        <v/>
      </c>
    </row>
    <row r="15" spans="1:11" ht="13.35" customHeight="1">
      <c r="A15" t="str">
        <f>IF(OR(Data!$AV15="",Data!$AW15&gt;999),"","^XA^LH0,0^PRB,D^MD20^JMA^FS")</f>
        <v/>
      </c>
      <c r="B15" t="str">
        <f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IF(A15&lt;&gt;"","^PQ"&amp;Data!$F$16&amp;",0,"&amp;Data!$F$16&amp;",Y","")</f>
        <v/>
      </c>
      <c r="K15" t="str">
        <f t="shared" si="0"/>
        <v/>
      </c>
    </row>
    <row r="16" spans="1:11" ht="13.35" customHeight="1">
      <c r="A16" t="str">
        <f>IF(OR(Data!$AV16="",Data!$AW16&gt;999),"","^XA^LH0,0^PRB,D^MD20^JMA^FS")</f>
        <v/>
      </c>
      <c r="B16" t="str">
        <f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IF(A16&lt;&gt;"","^PQ"&amp;Data!$F$16&amp;",0,"&amp;Data!$F$16&amp;",Y","")</f>
        <v/>
      </c>
      <c r="K16" t="str">
        <f t="shared" si="0"/>
        <v/>
      </c>
    </row>
    <row r="17" spans="1:11" ht="13.35" customHeight="1">
      <c r="A17" t="str">
        <f>IF(OR(Data!$AV17="",Data!$AW17&gt;999),"","^XA^LH0,0^PRB,D^MD20^JMA^FS")</f>
        <v/>
      </c>
      <c r="B17" t="str">
        <f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IF(A17&lt;&gt;"","^PQ"&amp;Data!$F$16&amp;",0,"&amp;Data!$F$16&amp;",Y","")</f>
        <v/>
      </c>
      <c r="K17" t="str">
        <f t="shared" si="0"/>
        <v/>
      </c>
    </row>
    <row r="18" spans="1:11" ht="13.35" customHeight="1">
      <c r="A18" t="str">
        <f>IF(OR(Data!$AV18="",Data!$AW18&gt;999),"","^XA^LH0,0^PRB,D^MD20^JMA^FS")</f>
        <v/>
      </c>
      <c r="B18" t="str">
        <f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IF(A18&lt;&gt;"","^PQ"&amp;Data!$F$16&amp;",0,"&amp;Data!$F$16&amp;",Y","")</f>
        <v/>
      </c>
      <c r="K18" t="str">
        <f t="shared" si="0"/>
        <v/>
      </c>
    </row>
    <row r="19" spans="1:11" ht="13.35" customHeight="1">
      <c r="A19" t="str">
        <f>IF(OR(Data!$AV19="",Data!$AW19&gt;999),"","^XA^LH0,0^PRB,D^MD20^JMA^FS")</f>
        <v/>
      </c>
      <c r="B19" t="str">
        <f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IF(A19&lt;&gt;"","^PQ"&amp;Data!$F$16&amp;",0,"&amp;Data!$F$16&amp;",Y","")</f>
        <v/>
      </c>
      <c r="K19" t="str">
        <f t="shared" si="0"/>
        <v/>
      </c>
    </row>
    <row r="20" spans="1:11" ht="13.35" customHeight="1">
      <c r="A20" t="str">
        <f>IF(OR(Data!$AV20="",Data!$AW20&gt;999),"","^XA^LH0,0^PRB,D^MD20^JMA^FS")</f>
        <v/>
      </c>
      <c r="B20" t="str">
        <f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IF(A20&lt;&gt;"","^PQ"&amp;Data!$F$16&amp;",0,"&amp;Data!$F$16&amp;",Y","")</f>
        <v/>
      </c>
      <c r="K20" t="str">
        <f t="shared" si="0"/>
        <v/>
      </c>
    </row>
  </sheetData>
  <pageMargins left="1.1173228346458099" right="1.1173228346458099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eductions"/>
  <dimension ref="A1:T18"/>
  <sheetViews>
    <sheetView workbookViewId="0">
      <selection activeCell="U13" sqref="U13"/>
    </sheetView>
  </sheetViews>
  <sheetFormatPr defaultColWidth="8.88671875" defaultRowHeight="14.4"/>
  <cols>
    <col min="1" max="1" width="6" style="40" bestFit="1" customWidth="1"/>
    <col min="2" max="2" width="10.109375" style="40" bestFit="1" customWidth="1"/>
    <col min="3" max="3" width="36.44140625" style="40" bestFit="1" customWidth="1"/>
    <col min="4" max="4" width="9.88671875" style="40" customWidth="1"/>
    <col min="5" max="5" width="23.88671875" style="40" bestFit="1" customWidth="1"/>
    <col min="6" max="6" width="10.6640625" style="40" bestFit="1" customWidth="1"/>
    <col min="7" max="8" width="8.88671875" style="40"/>
    <col min="9" max="9" width="16.33203125" style="40" bestFit="1" customWidth="1"/>
    <col min="10" max="10" width="10.109375" style="40" bestFit="1" customWidth="1"/>
    <col min="11" max="11" width="15" style="40" bestFit="1" customWidth="1"/>
    <col min="12" max="12" width="10.109375" style="40" bestFit="1" customWidth="1"/>
    <col min="13" max="13" width="1.5546875" style="40" customWidth="1"/>
    <col min="14" max="14" width="18.88671875" style="40" bestFit="1" customWidth="1"/>
    <col min="15" max="15" width="8.88671875" style="40"/>
    <col min="16" max="16" width="1.5546875" style="40" customWidth="1"/>
    <col min="17" max="17" width="23.88671875" style="40" bestFit="1" customWidth="1"/>
    <col min="18" max="19" width="5.33203125" style="40" customWidth="1"/>
    <col min="20" max="20" width="4.5546875" style="40" customWidth="1"/>
    <col min="21" max="16384" width="8.88671875" style="40"/>
  </cols>
  <sheetData>
    <row r="1" spans="1:20" s="70" customFormat="1" ht="16.95" customHeight="1">
      <c r="A1" s="235" t="s">
        <v>13</v>
      </c>
      <c r="B1" s="235" t="s">
        <v>148</v>
      </c>
      <c r="C1" s="235" t="s">
        <v>138</v>
      </c>
      <c r="D1" s="235" t="s">
        <v>148</v>
      </c>
      <c r="E1" s="235" t="s">
        <v>188</v>
      </c>
      <c r="F1" s="235" t="s">
        <v>205</v>
      </c>
      <c r="G1" s="235" t="s">
        <v>207</v>
      </c>
      <c r="H1" s="235" t="s">
        <v>208</v>
      </c>
      <c r="I1" s="235" t="s">
        <v>186</v>
      </c>
      <c r="J1" s="235" t="s">
        <v>148</v>
      </c>
      <c r="K1" s="235" t="s">
        <v>212</v>
      </c>
      <c r="L1" s="235" t="s">
        <v>148</v>
      </c>
      <c r="N1" s="236" t="s">
        <v>230</v>
      </c>
      <c r="O1" s="236" t="s">
        <v>231</v>
      </c>
      <c r="Q1" s="235"/>
      <c r="R1" s="234" t="s">
        <v>273</v>
      </c>
      <c r="S1" s="234" t="s">
        <v>274</v>
      </c>
      <c r="T1" s="234" t="s">
        <v>281</v>
      </c>
    </row>
    <row r="2" spans="1:20" s="70" customFormat="1" ht="43.2" customHeight="1">
      <c r="A2" s="235"/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N2" s="236"/>
      <c r="O2" s="236"/>
      <c r="Q2" s="235"/>
      <c r="R2" s="234"/>
      <c r="S2" s="234"/>
      <c r="T2" s="234"/>
    </row>
    <row r="3" spans="1:20" ht="14.4" customHeight="1">
      <c r="A3" s="40" t="s">
        <v>149</v>
      </c>
      <c r="B3" s="40">
        <v>0</v>
      </c>
      <c r="C3" t="s">
        <v>150</v>
      </c>
      <c r="D3" s="40">
        <v>0</v>
      </c>
      <c r="E3" t="s">
        <v>194</v>
      </c>
      <c r="F3" s="40" t="s">
        <v>203</v>
      </c>
      <c r="G3" s="40">
        <v>2</v>
      </c>
      <c r="H3" s="40">
        <v>4</v>
      </c>
      <c r="I3" t="s">
        <v>209</v>
      </c>
      <c r="J3" s="40">
        <v>0</v>
      </c>
      <c r="K3" t="s">
        <v>210</v>
      </c>
      <c r="L3" s="40">
        <v>10</v>
      </c>
      <c r="N3" t="s">
        <v>222</v>
      </c>
      <c r="O3" s="40">
        <v>40</v>
      </c>
      <c r="Q3" t="s">
        <v>194</v>
      </c>
      <c r="R3" s="40">
        <v>6</v>
      </c>
      <c r="S3" s="40">
        <v>0</v>
      </c>
      <c r="T3" s="40">
        <v>2</v>
      </c>
    </row>
    <row r="4" spans="1:20" ht="14.4" customHeight="1">
      <c r="A4" s="40" t="s">
        <v>151</v>
      </c>
      <c r="B4" s="40">
        <v>5</v>
      </c>
      <c r="C4" t="s">
        <v>165</v>
      </c>
      <c r="D4" s="40">
        <v>1</v>
      </c>
      <c r="E4" t="s">
        <v>195</v>
      </c>
      <c r="F4" s="40" t="s">
        <v>203</v>
      </c>
      <c r="G4" s="40">
        <v>2</v>
      </c>
      <c r="H4" s="40">
        <v>5</v>
      </c>
      <c r="I4" t="s">
        <v>213</v>
      </c>
      <c r="J4" s="40">
        <v>20</v>
      </c>
      <c r="K4" t="s">
        <v>215</v>
      </c>
      <c r="L4" s="40">
        <v>15</v>
      </c>
      <c r="N4" t="s">
        <v>232</v>
      </c>
      <c r="O4" s="40">
        <v>20</v>
      </c>
      <c r="Q4" t="s">
        <v>195</v>
      </c>
      <c r="R4" s="40">
        <v>7</v>
      </c>
      <c r="S4" s="40">
        <v>1</v>
      </c>
      <c r="T4" s="40">
        <v>2</v>
      </c>
    </row>
    <row r="5" spans="1:20">
      <c r="C5" t="s">
        <v>166</v>
      </c>
      <c r="D5" s="40">
        <v>-1</v>
      </c>
      <c r="E5" t="s">
        <v>196</v>
      </c>
      <c r="F5" s="40" t="s">
        <v>203</v>
      </c>
      <c r="G5" s="40">
        <v>2</v>
      </c>
      <c r="H5" s="40">
        <v>6</v>
      </c>
      <c r="I5" t="s">
        <v>214</v>
      </c>
      <c r="J5" s="40">
        <v>10</v>
      </c>
      <c r="K5" t="s">
        <v>216</v>
      </c>
      <c r="L5" s="40">
        <v>20</v>
      </c>
      <c r="N5" t="s">
        <v>233</v>
      </c>
      <c r="O5" s="40">
        <v>100</v>
      </c>
      <c r="Q5" t="s">
        <v>196</v>
      </c>
      <c r="R5" s="40">
        <v>8</v>
      </c>
      <c r="S5" s="40">
        <v>2</v>
      </c>
      <c r="T5" s="40">
        <v>2</v>
      </c>
    </row>
    <row r="6" spans="1:20">
      <c r="C6" t="s">
        <v>161</v>
      </c>
      <c r="D6" s="40">
        <v>0</v>
      </c>
      <c r="E6" t="s">
        <v>197</v>
      </c>
      <c r="F6" s="40" t="s">
        <v>203</v>
      </c>
      <c r="G6" s="40">
        <v>2</v>
      </c>
      <c r="H6" s="40">
        <v>7</v>
      </c>
      <c r="I6" t="s">
        <v>211</v>
      </c>
      <c r="J6" s="40">
        <v>0</v>
      </c>
      <c r="K6" t="s">
        <v>217</v>
      </c>
      <c r="L6" s="40">
        <v>25</v>
      </c>
      <c r="N6" t="s">
        <v>234</v>
      </c>
      <c r="O6" s="40">
        <v>50</v>
      </c>
      <c r="Q6" t="s">
        <v>197</v>
      </c>
      <c r="R6" s="40">
        <v>9</v>
      </c>
      <c r="S6" s="40">
        <v>3</v>
      </c>
      <c r="T6" s="40">
        <v>2</v>
      </c>
    </row>
    <row r="7" spans="1:20">
      <c r="C7" t="s">
        <v>162</v>
      </c>
      <c r="E7" t="s">
        <v>184</v>
      </c>
      <c r="F7" s="40" t="s">
        <v>204</v>
      </c>
      <c r="G7" s="40">
        <v>2</v>
      </c>
      <c r="H7" s="40">
        <v>8</v>
      </c>
      <c r="I7"/>
      <c r="K7" t="s">
        <v>218</v>
      </c>
      <c r="L7" s="40">
        <v>30</v>
      </c>
      <c r="N7" t="s">
        <v>235</v>
      </c>
      <c r="O7" s="40">
        <v>0</v>
      </c>
      <c r="Q7" t="s">
        <v>184</v>
      </c>
      <c r="R7" s="40">
        <v>10</v>
      </c>
      <c r="S7" s="40">
        <v>4</v>
      </c>
      <c r="T7" s="40">
        <v>2</v>
      </c>
    </row>
    <row r="8" spans="1:20">
      <c r="C8" t="s">
        <v>168</v>
      </c>
      <c r="D8" s="40">
        <v>5</v>
      </c>
      <c r="E8" t="s">
        <v>198</v>
      </c>
      <c r="F8" s="40" t="s">
        <v>204</v>
      </c>
      <c r="G8" s="40">
        <v>2</v>
      </c>
      <c r="H8" s="40">
        <v>9</v>
      </c>
      <c r="I8"/>
      <c r="K8" t="s">
        <v>211</v>
      </c>
      <c r="L8" s="40">
        <v>0</v>
      </c>
      <c r="Q8" t="s">
        <v>198</v>
      </c>
      <c r="R8" s="40">
        <v>11</v>
      </c>
      <c r="S8" s="40">
        <v>5</v>
      </c>
      <c r="T8" s="40">
        <v>2</v>
      </c>
    </row>
    <row r="9" spans="1:20">
      <c r="C9" t="s">
        <v>173</v>
      </c>
      <c r="D9" s="40">
        <v>3</v>
      </c>
      <c r="E9" t="s">
        <v>199</v>
      </c>
      <c r="F9" s="40" t="s">
        <v>204</v>
      </c>
      <c r="G9" s="40">
        <v>2</v>
      </c>
      <c r="H9" s="40">
        <v>10</v>
      </c>
      <c r="I9"/>
      <c r="Q9" t="s">
        <v>199</v>
      </c>
      <c r="R9" s="40">
        <v>12</v>
      </c>
      <c r="S9" s="40">
        <v>6</v>
      </c>
      <c r="T9" s="40">
        <v>2</v>
      </c>
    </row>
    <row r="10" spans="1:20">
      <c r="C10" t="s">
        <v>172</v>
      </c>
      <c r="D10" s="40">
        <v>0</v>
      </c>
      <c r="E10" t="s">
        <v>200</v>
      </c>
      <c r="F10" s="40" t="s">
        <v>203</v>
      </c>
      <c r="G10" s="40">
        <v>1</v>
      </c>
      <c r="H10" s="40">
        <v>4</v>
      </c>
      <c r="Q10" t="s">
        <v>200</v>
      </c>
      <c r="R10" s="40">
        <v>5</v>
      </c>
      <c r="S10" s="40">
        <v>2</v>
      </c>
      <c r="T10" s="40">
        <v>1</v>
      </c>
    </row>
    <row r="11" spans="1:20">
      <c r="C11" t="s">
        <v>169</v>
      </c>
      <c r="D11" s="40">
        <v>10</v>
      </c>
      <c r="E11" t="s">
        <v>183</v>
      </c>
      <c r="F11" s="40" t="s">
        <v>204</v>
      </c>
      <c r="G11" s="40">
        <v>1</v>
      </c>
      <c r="H11" s="40">
        <v>5</v>
      </c>
      <c r="Q11" t="s">
        <v>183</v>
      </c>
      <c r="R11" s="40">
        <v>6</v>
      </c>
      <c r="S11" s="40">
        <v>3</v>
      </c>
      <c r="T11" s="40">
        <v>1</v>
      </c>
    </row>
    <row r="12" spans="1:20">
      <c r="C12"/>
      <c r="E12" t="s">
        <v>201</v>
      </c>
      <c r="F12" s="40" t="s">
        <v>203</v>
      </c>
      <c r="G12" s="40">
        <v>1</v>
      </c>
      <c r="H12" s="40">
        <v>4</v>
      </c>
      <c r="Q12" t="s">
        <v>201</v>
      </c>
      <c r="R12" s="40">
        <v>5</v>
      </c>
      <c r="S12" s="40">
        <v>2</v>
      </c>
      <c r="T12" s="40">
        <v>1</v>
      </c>
    </row>
    <row r="13" spans="1:20">
      <c r="E13" t="s">
        <v>202</v>
      </c>
      <c r="F13" s="40" t="s">
        <v>204</v>
      </c>
      <c r="G13" s="40">
        <v>1</v>
      </c>
      <c r="H13" s="40">
        <v>5</v>
      </c>
      <c r="Q13" t="s">
        <v>202</v>
      </c>
      <c r="R13" s="40">
        <v>6</v>
      </c>
      <c r="S13" s="40">
        <v>3</v>
      </c>
      <c r="T13" s="40">
        <v>1</v>
      </c>
    </row>
    <row r="15" spans="1:20">
      <c r="C15"/>
    </row>
    <row r="16" spans="1:20">
      <c r="C16"/>
    </row>
    <row r="17" spans="3:3">
      <c r="C17"/>
    </row>
    <row r="18" spans="3:3">
      <c r="C18"/>
    </row>
  </sheetData>
  <mergeCells count="18">
    <mergeCell ref="F1:F2"/>
    <mergeCell ref="A1:A2"/>
    <mergeCell ref="B1:B2"/>
    <mergeCell ref="E1:E2"/>
    <mergeCell ref="G1:G2"/>
    <mergeCell ref="C1:C2"/>
    <mergeCell ref="D1:D2"/>
    <mergeCell ref="I1:I2"/>
    <mergeCell ref="J1:J2"/>
    <mergeCell ref="K1:K2"/>
    <mergeCell ref="L1:L2"/>
    <mergeCell ref="H1:H2"/>
    <mergeCell ref="R1:R2"/>
    <mergeCell ref="S1:S2"/>
    <mergeCell ref="Q1:Q2"/>
    <mergeCell ref="T1:T2"/>
    <mergeCell ref="N1:N2"/>
    <mergeCell ref="O1:O2"/>
  </mergeCells>
  <pageMargins left="1.0110236220472699" right="1.0110236220472699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Data</vt:lpstr>
      <vt:lpstr>Job Sheet</vt:lpstr>
      <vt:lpstr>Fabric Cutting</vt:lpstr>
      <vt:lpstr>Tube Cutting</vt:lpstr>
      <vt:lpstr>Assembly(a)</vt:lpstr>
      <vt:lpstr>Bagging</vt:lpstr>
      <vt:lpstr>Pelmet Order Form</vt:lpstr>
      <vt:lpstr>Components</vt:lpstr>
      <vt:lpstr>Component Colour Matching</vt:lpstr>
      <vt:lpstr>Labels</vt:lpstr>
      <vt:lpstr>Deductions</vt:lpstr>
      <vt:lpstr>Channels</vt:lpstr>
      <vt:lpstr>ColourMatch</vt:lpstr>
      <vt:lpstr>CompanyPkId</vt:lpstr>
      <vt:lpstr>'Assembly(a)'!CustName</vt:lpstr>
      <vt:lpstr>Bagging!CustName</vt:lpstr>
      <vt:lpstr>CustName</vt:lpstr>
      <vt:lpstr>'Assembly(a)'!CustOrdOpt</vt:lpstr>
      <vt:lpstr>CustOrdOpt</vt:lpstr>
      <vt:lpstr>DataSettings</vt:lpstr>
      <vt:lpstr>'Assembly(a)'!FitDeduct</vt:lpstr>
      <vt:lpstr>FitDeduct</vt:lpstr>
      <vt:lpstr>Flooring</vt:lpstr>
      <vt:lpstr>Height</vt:lpstr>
      <vt:lpstr>InventoryGroup</vt:lpstr>
      <vt:lpstr>JobPickLastRow</vt:lpstr>
      <vt:lpstr>PelmetAdd</vt:lpstr>
      <vt:lpstr>'Assembly(a)'!Print_Area</vt:lpstr>
      <vt:lpstr>Bagging!Print_Area</vt:lpstr>
      <vt:lpstr>'Fabric Cutting'!Print_Area</vt:lpstr>
      <vt:lpstr>'Job Sheet'!Print_Area</vt:lpstr>
      <vt:lpstr>'Tube Cutting'!Print_Area</vt:lpstr>
      <vt:lpstr>'Assembly(a)'!Print_Titles</vt:lpstr>
      <vt:lpstr>Bagging!Print_Titles</vt:lpstr>
      <vt:lpstr>'Job Sheet'!Print_Titles</vt:lpstr>
      <vt:lpstr>RightColumn</vt:lpstr>
      <vt:lpstr>RollerCar</vt:lpstr>
      <vt:lpstr>'Assembly(a)'!SideDeduct</vt:lpstr>
      <vt:lpstr>SideDeduct</vt:lpstr>
      <vt:lpstr>UserPkId</vt:lpstr>
    </vt:vector>
  </TitlesOfParts>
  <Manager/>
  <Company>DPS Computer Services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2026-08-24T21:59:49Z</cp:lastPrinted>
  <dcterms:created xsi:type="dcterms:W3CDTF">2004-01-09T05:29:38Z</dcterms:created>
  <dcterms:modified xsi:type="dcterms:W3CDTF">2026-08-24T22:39:00Z</dcterms:modified>
  <cp:category/>
  <cp:contentStatus/>
</cp:coreProperties>
</file>